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9FA27388-5824-4379-A7E0-FEF1691E8F87}" xr6:coauthVersionLast="47" xr6:coauthVersionMax="47" xr10:uidLastSave="{00000000-0000-0000-0000-000000000000}"/>
  <bookViews>
    <workbookView xWindow="2385" yWindow="975" windowWidth="21930" windowHeight="14250" tabRatio="500" activeTab="4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그래프_월">=OFFSET(요약!$A$29,0,0,MONTH(인덱스!$K$1),1)</definedName>
    <definedName name="그래프_매출액">=OFFSET(요약!$B$29,0,0,MONTH(인덱스!$K$1),1)</definedName>
    <definedName name="그래프_영업이익">=OFFSET(요약!$C$29,0,0,MONTH(인덱스!$K$1),1)</definedName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L28" i="5" l="1"/>
  <c r="F48" i="9"/>
  <c r="G48" i="9" s="1"/>
  <c r="F47" i="9"/>
  <c r="G47" i="9" s="1"/>
  <c r="F46" i="9"/>
  <c r="G46" i="9" s="1"/>
  <c r="G45" i="9"/>
  <c r="F45" i="9"/>
  <c r="G44" i="9"/>
  <c r="F44" i="9"/>
  <c r="G43" i="9"/>
  <c r="F43" i="9"/>
  <c r="G42" i="9"/>
  <c r="F42" i="9"/>
  <c r="G41" i="9"/>
  <c r="F41" i="9"/>
  <c r="G40" i="9"/>
  <c r="F40" i="9"/>
  <c r="G39" i="9"/>
  <c r="F39" i="9"/>
  <c r="G38" i="9"/>
  <c r="F38" i="9"/>
  <c r="G37" i="9"/>
  <c r="F37" i="9"/>
  <c r="G36" i="9"/>
  <c r="F36" i="9"/>
  <c r="G35" i="9"/>
  <c r="F35" i="9"/>
  <c r="G34" i="9"/>
  <c r="F34" i="9"/>
  <c r="G33" i="9"/>
  <c r="F33" i="9"/>
  <c r="G32" i="9"/>
  <c r="F32" i="9"/>
  <c r="G31" i="9"/>
  <c r="F31" i="9"/>
  <c r="G30" i="9"/>
  <c r="F30" i="9"/>
  <c r="G29" i="9"/>
  <c r="F29" i="9"/>
  <c r="G28" i="9"/>
  <c r="F28" i="9"/>
  <c r="G27" i="9"/>
  <c r="F27" i="9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12" i="9"/>
  <c r="F12" i="9"/>
  <c r="G11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G4" i="9"/>
  <c r="F4" i="9"/>
  <c r="G3" i="9"/>
  <c r="F3" i="9"/>
  <c r="P41" i="8"/>
  <c r="O41" i="8"/>
  <c r="P40" i="8"/>
  <c r="O40" i="8"/>
  <c r="P39" i="8"/>
  <c r="O39" i="8"/>
  <c r="P38" i="8"/>
  <c r="O38" i="8"/>
  <c r="P37" i="8"/>
  <c r="O37" i="8"/>
  <c r="P36" i="8"/>
  <c r="O36" i="8"/>
  <c r="P35" i="8"/>
  <c r="O35" i="8"/>
  <c r="P34" i="8"/>
  <c r="O34" i="8"/>
  <c r="P33" i="8"/>
  <c r="O33" i="8"/>
  <c r="P32" i="8"/>
  <c r="O32" i="8"/>
  <c r="P31" i="8"/>
  <c r="O31" i="8"/>
  <c r="P30" i="8"/>
  <c r="O30" i="8"/>
  <c r="P29" i="8"/>
  <c r="O29" i="8"/>
  <c r="P28" i="8"/>
  <c r="O28" i="8"/>
  <c r="P27" i="8"/>
  <c r="O27" i="8"/>
  <c r="P26" i="8"/>
  <c r="O26" i="8"/>
  <c r="P25" i="8"/>
  <c r="O25" i="8"/>
  <c r="P24" i="8"/>
  <c r="O24" i="8"/>
  <c r="P23" i="8"/>
  <c r="O23" i="8"/>
  <c r="P22" i="8"/>
  <c r="O22" i="8"/>
  <c r="P21" i="8"/>
  <c r="O21" i="8"/>
  <c r="P20" i="8"/>
  <c r="O20" i="8"/>
  <c r="P19" i="8"/>
  <c r="O19" i="8"/>
  <c r="P18" i="8"/>
  <c r="O18" i="8"/>
  <c r="P17" i="8"/>
  <c r="O17" i="8"/>
  <c r="P16" i="8"/>
  <c r="O16" i="8"/>
  <c r="P15" i="8"/>
  <c r="O15" i="8"/>
  <c r="P14" i="8"/>
  <c r="O14" i="8"/>
  <c r="P13" i="8"/>
  <c r="O13" i="8"/>
  <c r="P12" i="8"/>
  <c r="O12" i="8"/>
  <c r="P11" i="8"/>
  <c r="O11" i="8"/>
  <c r="P10" i="8"/>
  <c r="O10" i="8"/>
  <c r="P9" i="8"/>
  <c r="O9" i="8"/>
  <c r="P8" i="8"/>
  <c r="O8" i="8"/>
  <c r="P7" i="8"/>
  <c r="O7" i="8"/>
  <c r="P6" i="8"/>
  <c r="O6" i="8"/>
  <c r="P5" i="8"/>
  <c r="O5" i="8"/>
  <c r="P4" i="8"/>
  <c r="O4" i="8"/>
  <c r="P3" i="8"/>
  <c r="O3" i="8"/>
  <c r="P2" i="8"/>
  <c r="O2" i="8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Q27" i="7"/>
  <c r="P27" i="7"/>
  <c r="Q26" i="7"/>
  <c r="P26" i="7"/>
  <c r="Q25" i="7"/>
  <c r="P25" i="7"/>
  <c r="Q24" i="7"/>
  <c r="P24" i="7"/>
  <c r="Q23" i="7"/>
  <c r="P23" i="7"/>
  <c r="Q22" i="7"/>
  <c r="P22" i="7"/>
  <c r="Q21" i="7"/>
  <c r="P21" i="7"/>
  <c r="Q20" i="7"/>
  <c r="P20" i="7"/>
  <c r="Q19" i="7"/>
  <c r="P19" i="7"/>
  <c r="Q18" i="7"/>
  <c r="P18" i="7"/>
  <c r="Q17" i="7"/>
  <c r="P17" i="7"/>
  <c r="Q16" i="7"/>
  <c r="P16" i="7"/>
  <c r="Q15" i="7"/>
  <c r="P15" i="7"/>
  <c r="Q14" i="7"/>
  <c r="P14" i="7"/>
  <c r="Q13" i="7"/>
  <c r="P13" i="7"/>
  <c r="Q12" i="7"/>
  <c r="P12" i="7"/>
  <c r="Q11" i="7"/>
  <c r="P11" i="7"/>
  <c r="Q10" i="7"/>
  <c r="P10" i="7"/>
  <c r="Q9" i="7"/>
  <c r="P9" i="7"/>
  <c r="Q8" i="7"/>
  <c r="P8" i="7"/>
  <c r="Q7" i="7"/>
  <c r="P7" i="7"/>
  <c r="Q6" i="7"/>
  <c r="P6" i="7"/>
  <c r="Q5" i="7"/>
  <c r="P5" i="7"/>
  <c r="Q4" i="7"/>
  <c r="P4" i="7"/>
  <c r="Q3" i="7"/>
  <c r="P3" i="7"/>
  <c r="Q2" i="7"/>
  <c r="P2" i="7"/>
  <c r="G70" i="6"/>
  <c r="F70" i="6"/>
  <c r="G69" i="6"/>
  <c r="F69" i="6"/>
  <c r="G68" i="6"/>
  <c r="F68" i="6"/>
  <c r="G67" i="6"/>
  <c r="F67" i="6"/>
  <c r="G66" i="6"/>
  <c r="F66" i="6"/>
  <c r="G65" i="6"/>
  <c r="F65" i="6"/>
  <c r="G64" i="6"/>
  <c r="F64" i="6"/>
  <c r="G63" i="6"/>
  <c r="F63" i="6"/>
  <c r="G62" i="6"/>
  <c r="F62" i="6"/>
  <c r="G61" i="6"/>
  <c r="F61" i="6"/>
  <c r="G60" i="6"/>
  <c r="F60" i="6"/>
  <c r="G59" i="6"/>
  <c r="F59" i="6"/>
  <c r="G58" i="6"/>
  <c r="F58" i="6"/>
  <c r="G57" i="6"/>
  <c r="F57" i="6"/>
  <c r="G56" i="6"/>
  <c r="F56" i="6"/>
  <c r="G55" i="6"/>
  <c r="F55" i="6"/>
  <c r="G54" i="6"/>
  <c r="F54" i="6"/>
  <c r="G53" i="6"/>
  <c r="F53" i="6"/>
  <c r="G52" i="6"/>
  <c r="F52" i="6"/>
  <c r="G51" i="6"/>
  <c r="F51" i="6"/>
  <c r="G50" i="6"/>
  <c r="F50" i="6"/>
  <c r="G49" i="6"/>
  <c r="F49" i="6"/>
  <c r="G48" i="6"/>
  <c r="F48" i="6"/>
  <c r="G47" i="6"/>
  <c r="F47" i="6"/>
  <c r="G46" i="6"/>
  <c r="F46" i="6"/>
  <c r="G45" i="6"/>
  <c r="F45" i="6"/>
  <c r="G44" i="6"/>
  <c r="F44" i="6"/>
  <c r="G43" i="6"/>
  <c r="F43" i="6"/>
  <c r="G42" i="6"/>
  <c r="F42" i="6"/>
  <c r="G41" i="6"/>
  <c r="F41" i="6"/>
  <c r="G40" i="6"/>
  <c r="F40" i="6"/>
  <c r="G39" i="6"/>
  <c r="F39" i="6"/>
  <c r="G38" i="6"/>
  <c r="F38" i="6"/>
  <c r="G37" i="6"/>
  <c r="F37" i="6"/>
  <c r="G36" i="6"/>
  <c r="F36" i="6"/>
  <c r="G35" i="6"/>
  <c r="F35" i="6"/>
  <c r="G34" i="6"/>
  <c r="F34" i="6"/>
  <c r="G33" i="6"/>
  <c r="F33" i="6"/>
  <c r="G32" i="6"/>
  <c r="F32" i="6"/>
  <c r="G31" i="6"/>
  <c r="F31" i="6"/>
  <c r="G30" i="6"/>
  <c r="F30" i="6"/>
  <c r="G29" i="6"/>
  <c r="F29" i="6"/>
  <c r="G28" i="6"/>
  <c r="F28" i="6"/>
  <c r="G27" i="6"/>
  <c r="F27" i="6"/>
  <c r="G26" i="6"/>
  <c r="F26" i="6"/>
  <c r="G25" i="6"/>
  <c r="F25" i="6"/>
  <c r="G24" i="6"/>
  <c r="F24" i="6"/>
  <c r="G23" i="6"/>
  <c r="F23" i="6"/>
  <c r="G22" i="6"/>
  <c r="F22" i="6"/>
  <c r="G21" i="6"/>
  <c r="F21" i="6"/>
  <c r="G20" i="6"/>
  <c r="F20" i="6"/>
  <c r="G19" i="6"/>
  <c r="F19" i="6"/>
  <c r="G18" i="6"/>
  <c r="F18" i="6"/>
  <c r="G17" i="6"/>
  <c r="F17" i="6"/>
  <c r="G16" i="6"/>
  <c r="F16" i="6"/>
  <c r="G15" i="6"/>
  <c r="F15" i="6"/>
  <c r="G14" i="6"/>
  <c r="F14" i="6"/>
  <c r="G13" i="6"/>
  <c r="F13" i="6"/>
  <c r="G12" i="6"/>
  <c r="F12" i="6"/>
  <c r="G11" i="6"/>
  <c r="F11" i="6"/>
  <c r="G10" i="6"/>
  <c r="F10" i="6"/>
  <c r="G9" i="6"/>
  <c r="F9" i="6"/>
  <c r="G8" i="6"/>
  <c r="F8" i="6"/>
  <c r="G7" i="6"/>
  <c r="F7" i="6"/>
  <c r="G6" i="6"/>
  <c r="F6" i="6"/>
  <c r="G5" i="6"/>
  <c r="F5" i="6"/>
  <c r="G4" i="6"/>
  <c r="F18" i="3" s="1"/>
  <c r="K18" i="3" s="1"/>
  <c r="F4" i="6"/>
  <c r="G3" i="6"/>
  <c r="F3" i="6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O15" i="5"/>
  <c r="N15" i="5"/>
  <c r="N14" i="5"/>
  <c r="O14" i="5" s="1"/>
  <c r="N13" i="5"/>
  <c r="N12" i="5"/>
  <c r="N11" i="5"/>
  <c r="O11" i="5" s="1"/>
  <c r="I11" i="5" s="1"/>
  <c r="F11" i="5"/>
  <c r="N10" i="5"/>
  <c r="N9" i="5"/>
  <c r="N8" i="5"/>
  <c r="N7" i="5"/>
  <c r="O28" i="5" s="1"/>
  <c r="J6" i="5"/>
  <c r="I6" i="5"/>
  <c r="A3" i="5"/>
  <c r="A1" i="5"/>
  <c r="H61" i="4"/>
  <c r="K60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I18" i="4" s="1"/>
  <c r="K17" i="4"/>
  <c r="H17" i="4"/>
  <c r="K16" i="4"/>
  <c r="H16" i="4"/>
  <c r="K15" i="4"/>
  <c r="H15" i="4"/>
  <c r="K14" i="4"/>
  <c r="I14" i="4"/>
  <c r="H14" i="4"/>
  <c r="K13" i="4"/>
  <c r="H13" i="4"/>
  <c r="H12" i="4"/>
  <c r="I12" i="4" s="1"/>
  <c r="K11" i="4"/>
  <c r="H11" i="4"/>
  <c r="I11" i="4" s="1"/>
  <c r="C11" i="4" s="1"/>
  <c r="K10" i="4"/>
  <c r="J10" i="4"/>
  <c r="I10" i="4"/>
  <c r="H10" i="4"/>
  <c r="I25" i="4" s="1"/>
  <c r="B10" i="4"/>
  <c r="I9" i="4"/>
  <c r="H9" i="4"/>
  <c r="E9" i="4"/>
  <c r="A4" i="4"/>
  <c r="A3" i="4"/>
  <c r="H80" i="3"/>
  <c r="H79" i="3"/>
  <c r="I79" i="3" s="1"/>
  <c r="H78" i="3"/>
  <c r="I78" i="3" s="1"/>
  <c r="G78" i="3"/>
  <c r="A78" i="3"/>
  <c r="H77" i="3"/>
  <c r="G77" i="3"/>
  <c r="A77" i="3"/>
  <c r="H76" i="3"/>
  <c r="H75" i="3"/>
  <c r="H74" i="3"/>
  <c r="H73" i="3"/>
  <c r="I73" i="3" s="1"/>
  <c r="H72" i="3"/>
  <c r="H71" i="3"/>
  <c r="H70" i="3"/>
  <c r="H69" i="3"/>
  <c r="H68" i="3"/>
  <c r="H67" i="3"/>
  <c r="I67" i="3" s="1"/>
  <c r="K66" i="3"/>
  <c r="H66" i="3"/>
  <c r="H65" i="3"/>
  <c r="H64" i="3"/>
  <c r="H63" i="3"/>
  <c r="H62" i="3"/>
  <c r="H61" i="3"/>
  <c r="H60" i="3"/>
  <c r="H59" i="3"/>
  <c r="H58" i="3"/>
  <c r="I58" i="3" s="1"/>
  <c r="H57" i="3"/>
  <c r="H56" i="3"/>
  <c r="H55" i="3"/>
  <c r="H54" i="3"/>
  <c r="H53" i="3"/>
  <c r="H52" i="3"/>
  <c r="K51" i="3"/>
  <c r="H51" i="3"/>
  <c r="H50" i="3"/>
  <c r="H49" i="3"/>
  <c r="H48" i="3"/>
  <c r="I48" i="3" s="1"/>
  <c r="E48" i="3" s="1"/>
  <c r="I47" i="3"/>
  <c r="E47" i="3" s="1"/>
  <c r="H47" i="3"/>
  <c r="H46" i="3"/>
  <c r="H45" i="3"/>
  <c r="H44" i="3"/>
  <c r="I44" i="3" s="1"/>
  <c r="H43" i="3"/>
  <c r="H42" i="3"/>
  <c r="H41" i="3"/>
  <c r="H40" i="3"/>
  <c r="I60" i="3" s="1"/>
  <c r="H39" i="3"/>
  <c r="I38" i="3"/>
  <c r="E38" i="3" s="1"/>
  <c r="H38" i="3"/>
  <c r="H37" i="3"/>
  <c r="H36" i="3"/>
  <c r="I35" i="3"/>
  <c r="F35" i="3" s="1"/>
  <c r="K35" i="3" s="1"/>
  <c r="H35" i="3"/>
  <c r="B35" i="3"/>
  <c r="H34" i="3"/>
  <c r="I34" i="3" s="1"/>
  <c r="H33" i="3"/>
  <c r="I32" i="3"/>
  <c r="E32" i="3" s="1"/>
  <c r="H32" i="3"/>
  <c r="H31" i="3"/>
  <c r="H30" i="3"/>
  <c r="I29" i="3"/>
  <c r="B29" i="3" s="1"/>
  <c r="H29" i="3"/>
  <c r="H28" i="3"/>
  <c r="I28" i="3" s="1"/>
  <c r="H27" i="3"/>
  <c r="I26" i="3"/>
  <c r="E26" i="3" s="1"/>
  <c r="H26" i="3"/>
  <c r="H25" i="3"/>
  <c r="H24" i="3"/>
  <c r="I23" i="3"/>
  <c r="B23" i="3" s="1"/>
  <c r="H23" i="3"/>
  <c r="H22" i="3"/>
  <c r="I22" i="3" s="1"/>
  <c r="H21" i="3"/>
  <c r="I20" i="3"/>
  <c r="E20" i="3" s="1"/>
  <c r="H20" i="3"/>
  <c r="I62" i="3" s="1"/>
  <c r="H19" i="3"/>
  <c r="I18" i="3"/>
  <c r="H18" i="3"/>
  <c r="I17" i="3"/>
  <c r="E17" i="3" s="1"/>
  <c r="H17" i="3"/>
  <c r="H16" i="3"/>
  <c r="I16" i="3" s="1"/>
  <c r="I15" i="3"/>
  <c r="E15" i="3" s="1"/>
  <c r="H15" i="3"/>
  <c r="J14" i="3"/>
  <c r="I14" i="3"/>
  <c r="F14" i="3" s="1"/>
  <c r="K14" i="3" s="1"/>
  <c r="H14" i="3"/>
  <c r="C14" i="3"/>
  <c r="G14" i="3" s="1"/>
  <c r="I13" i="3"/>
  <c r="E13" i="3" s="1"/>
  <c r="H13" i="3"/>
  <c r="F13" i="3"/>
  <c r="J12" i="3"/>
  <c r="I12" i="3"/>
  <c r="F12" i="3" s="1"/>
  <c r="K12" i="3" s="1"/>
  <c r="H12" i="3"/>
  <c r="C12" i="3"/>
  <c r="B12" i="3"/>
  <c r="I11" i="3"/>
  <c r="E11" i="3" s="1"/>
  <c r="H11" i="3"/>
  <c r="F11" i="3"/>
  <c r="J10" i="3"/>
  <c r="I10" i="3"/>
  <c r="F10" i="3" s="1"/>
  <c r="K10" i="3" s="1"/>
  <c r="H10" i="3"/>
  <c r="C10" i="3"/>
  <c r="G10" i="3" s="1"/>
  <c r="B10" i="3"/>
  <c r="K9" i="3"/>
  <c r="I9" i="3"/>
  <c r="J9" i="3" s="1"/>
  <c r="H9" i="3"/>
  <c r="A4" i="3"/>
  <c r="A3" i="3"/>
  <c r="C41" i="2"/>
  <c r="B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16" i="2"/>
  <c r="C18" i="2" s="1"/>
  <c r="E15" i="2"/>
  <c r="C15" i="2"/>
  <c r="C14" i="2"/>
  <c r="C13" i="2"/>
  <c r="C12" i="2"/>
  <c r="C11" i="2"/>
  <c r="C17" i="2" s="1"/>
  <c r="C10" i="2"/>
  <c r="C9" i="2"/>
  <c r="C8" i="2"/>
  <c r="C7" i="2"/>
  <c r="A2" i="2"/>
  <c r="B12" i="1"/>
  <c r="B11" i="1"/>
  <c r="B10" i="1"/>
  <c r="B9" i="1"/>
  <c r="B8" i="1"/>
  <c r="B7" i="1"/>
  <c r="A1" i="1"/>
  <c r="E60" i="3" l="1"/>
  <c r="J60" i="3"/>
  <c r="C60" i="3"/>
  <c r="B60" i="3"/>
  <c r="F60" i="3"/>
  <c r="K60" i="3" s="1"/>
  <c r="F67" i="3"/>
  <c r="K67" i="3" s="1"/>
  <c r="C67" i="3"/>
  <c r="J67" i="3"/>
  <c r="E67" i="3"/>
  <c r="B67" i="3"/>
  <c r="F73" i="3"/>
  <c r="C73" i="3"/>
  <c r="G73" i="3" s="1"/>
  <c r="J73" i="3"/>
  <c r="E73" i="3"/>
  <c r="B73" i="3"/>
  <c r="F12" i="4"/>
  <c r="E12" i="4"/>
  <c r="J12" i="4"/>
  <c r="C12" i="4"/>
  <c r="B12" i="4"/>
  <c r="G12" i="3"/>
  <c r="E28" i="3"/>
  <c r="J28" i="3"/>
  <c r="B28" i="3"/>
  <c r="C28" i="3"/>
  <c r="F28" i="3"/>
  <c r="K28" i="3" s="1"/>
  <c r="E62" i="3"/>
  <c r="J62" i="3"/>
  <c r="C62" i="3"/>
  <c r="G62" i="3" s="1"/>
  <c r="F62" i="3"/>
  <c r="B62" i="3"/>
  <c r="E58" i="3"/>
  <c r="J58" i="3"/>
  <c r="C58" i="3"/>
  <c r="F58" i="3"/>
  <c r="K58" i="3" s="1"/>
  <c r="B58" i="3"/>
  <c r="E34" i="3"/>
  <c r="J34" i="3"/>
  <c r="B34" i="3"/>
  <c r="C34" i="3"/>
  <c r="F34" i="3"/>
  <c r="K34" i="3" s="1"/>
  <c r="E44" i="3"/>
  <c r="C44" i="3"/>
  <c r="G44" i="3" s="1"/>
  <c r="J44" i="3"/>
  <c r="F44" i="3"/>
  <c r="B44" i="3"/>
  <c r="E79" i="3"/>
  <c r="J79" i="3"/>
  <c r="C79" i="3"/>
  <c r="B79" i="3"/>
  <c r="F79" i="3"/>
  <c r="E16" i="3"/>
  <c r="J16" i="3"/>
  <c r="B16" i="3"/>
  <c r="F16" i="3"/>
  <c r="K16" i="3" s="1"/>
  <c r="C16" i="3"/>
  <c r="E22" i="3"/>
  <c r="J22" i="3"/>
  <c r="B22" i="3"/>
  <c r="C22" i="3"/>
  <c r="G22" i="3" s="1"/>
  <c r="F22" i="3"/>
  <c r="B17" i="3"/>
  <c r="I50" i="3"/>
  <c r="I71" i="3"/>
  <c r="B25" i="4"/>
  <c r="E25" i="4"/>
  <c r="J25" i="4"/>
  <c r="F14" i="4"/>
  <c r="E14" i="4"/>
  <c r="J18" i="4"/>
  <c r="C18" i="4"/>
  <c r="F18" i="4"/>
  <c r="E18" i="4"/>
  <c r="I24" i="4"/>
  <c r="I49" i="3"/>
  <c r="I65" i="3"/>
  <c r="I53" i="3"/>
  <c r="I45" i="3"/>
  <c r="I39" i="3"/>
  <c r="E10" i="3"/>
  <c r="E12" i="3"/>
  <c r="E14" i="3"/>
  <c r="C17" i="3"/>
  <c r="J17" i="3"/>
  <c r="B20" i="3"/>
  <c r="J20" i="3"/>
  <c r="C23" i="3"/>
  <c r="J23" i="3"/>
  <c r="B26" i="3"/>
  <c r="J26" i="3"/>
  <c r="C29" i="3"/>
  <c r="G29" i="3" s="1"/>
  <c r="J29" i="3"/>
  <c r="B32" i="3"/>
  <c r="J32" i="3"/>
  <c r="C35" i="3"/>
  <c r="G35" i="3" s="1"/>
  <c r="J35" i="3"/>
  <c r="B38" i="3"/>
  <c r="J38" i="3"/>
  <c r="I40" i="3"/>
  <c r="B47" i="3"/>
  <c r="J47" i="3"/>
  <c r="J48" i="3"/>
  <c r="I57" i="3"/>
  <c r="I70" i="3"/>
  <c r="I76" i="3"/>
  <c r="E10" i="4"/>
  <c r="C10" i="4"/>
  <c r="F10" i="4"/>
  <c r="I13" i="4"/>
  <c r="J14" i="4"/>
  <c r="I23" i="4"/>
  <c r="C25" i="4"/>
  <c r="B11" i="3"/>
  <c r="B15" i="3"/>
  <c r="I21" i="3"/>
  <c r="I24" i="3"/>
  <c r="C26" i="3"/>
  <c r="I30" i="3"/>
  <c r="C32" i="3"/>
  <c r="I33" i="3"/>
  <c r="E35" i="3"/>
  <c r="I36" i="3"/>
  <c r="C38" i="3"/>
  <c r="I41" i="3"/>
  <c r="I42" i="3"/>
  <c r="C47" i="3"/>
  <c r="B48" i="3"/>
  <c r="I52" i="3"/>
  <c r="I54" i="3"/>
  <c r="I55" i="3"/>
  <c r="I56" i="3"/>
  <c r="I69" i="3"/>
  <c r="I75" i="3"/>
  <c r="B9" i="4"/>
  <c r="F9" i="4"/>
  <c r="I17" i="4"/>
  <c r="I22" i="4"/>
  <c r="I59" i="3"/>
  <c r="I80" i="3"/>
  <c r="B13" i="3"/>
  <c r="E18" i="3"/>
  <c r="C20" i="3"/>
  <c r="G20" i="3" s="1"/>
  <c r="E23" i="3"/>
  <c r="I27" i="3"/>
  <c r="E29" i="3"/>
  <c r="C11" i="3"/>
  <c r="G11" i="3" s="1"/>
  <c r="J11" i="3"/>
  <c r="C13" i="3"/>
  <c r="G13" i="3" s="1"/>
  <c r="J13" i="3"/>
  <c r="C15" i="3"/>
  <c r="J15" i="3"/>
  <c r="F17" i="3"/>
  <c r="K17" i="3" s="1"/>
  <c r="B18" i="3"/>
  <c r="J18" i="3"/>
  <c r="F20" i="3"/>
  <c r="K20" i="3" s="1"/>
  <c r="F23" i="3"/>
  <c r="K23" i="3" s="1"/>
  <c r="F26" i="3"/>
  <c r="K26" i="3" s="1"/>
  <c r="F29" i="3"/>
  <c r="F32" i="3"/>
  <c r="K32" i="3" s="1"/>
  <c r="F38" i="3"/>
  <c r="K38" i="3" s="1"/>
  <c r="I43" i="3"/>
  <c r="F47" i="3"/>
  <c r="K47" i="3" s="1"/>
  <c r="C48" i="3"/>
  <c r="G48" i="3" s="1"/>
  <c r="I51" i="3"/>
  <c r="J51" i="3" s="1"/>
  <c r="I64" i="3"/>
  <c r="I68" i="3"/>
  <c r="I74" i="3"/>
  <c r="J9" i="4"/>
  <c r="B14" i="4"/>
  <c r="I16" i="4"/>
  <c r="I21" i="4"/>
  <c r="F25" i="4"/>
  <c r="I27" i="4"/>
  <c r="I43" i="4"/>
  <c r="I55" i="4"/>
  <c r="C18" i="3"/>
  <c r="G18" i="3" s="1"/>
  <c r="I19" i="3"/>
  <c r="I25" i="3"/>
  <c r="I31" i="3"/>
  <c r="I37" i="3"/>
  <c r="F48" i="3"/>
  <c r="I63" i="3"/>
  <c r="C9" i="4"/>
  <c r="C14" i="4"/>
  <c r="B14" i="3"/>
  <c r="F15" i="3"/>
  <c r="K15" i="3" s="1"/>
  <c r="I46" i="3"/>
  <c r="I61" i="3"/>
  <c r="I66" i="3"/>
  <c r="J66" i="3" s="1"/>
  <c r="I72" i="3"/>
  <c r="I77" i="3"/>
  <c r="J11" i="4"/>
  <c r="B11" i="4"/>
  <c r="F11" i="4"/>
  <c r="E11" i="4"/>
  <c r="I15" i="4"/>
  <c r="B18" i="4"/>
  <c r="Q11" i="5"/>
  <c r="I49" i="4"/>
  <c r="I54" i="4"/>
  <c r="I34" i="4"/>
  <c r="I33" i="4"/>
  <c r="I32" i="4"/>
  <c r="I31" i="4"/>
  <c r="I30" i="4"/>
  <c r="I29" i="4"/>
  <c r="I28" i="4"/>
  <c r="I19" i="4"/>
  <c r="I20" i="4"/>
  <c r="I26" i="4"/>
  <c r="P28" i="5"/>
  <c r="I28" i="5"/>
  <c r="C28" i="5"/>
  <c r="G28" i="5"/>
  <c r="E28" i="5"/>
  <c r="H28" i="5"/>
  <c r="B28" i="5"/>
  <c r="F28" i="5"/>
  <c r="J28" i="5"/>
  <c r="D28" i="5"/>
  <c r="G14" i="5"/>
  <c r="E14" i="5"/>
  <c r="P14" i="5"/>
  <c r="D14" i="5"/>
  <c r="J14" i="5"/>
  <c r="B14" i="5"/>
  <c r="H14" i="5"/>
  <c r="I14" i="5"/>
  <c r="Q14" i="5" s="1"/>
  <c r="F14" i="5"/>
  <c r="C14" i="5"/>
  <c r="E15" i="5"/>
  <c r="I15" i="5"/>
  <c r="Q15" i="5" s="1"/>
  <c r="C15" i="5"/>
  <c r="H15" i="5"/>
  <c r="P15" i="5"/>
  <c r="F15" i="5"/>
  <c r="B15" i="5"/>
  <c r="J15" i="5"/>
  <c r="G15" i="5"/>
  <c r="D15" i="5"/>
  <c r="I42" i="4"/>
  <c r="I48" i="4"/>
  <c r="I59" i="4"/>
  <c r="O21" i="5"/>
  <c r="O30" i="5"/>
  <c r="I35" i="4"/>
  <c r="I36" i="4"/>
  <c r="I37" i="4"/>
  <c r="I38" i="4"/>
  <c r="I39" i="4"/>
  <c r="I40" i="4"/>
  <c r="I41" i="4"/>
  <c r="I47" i="4"/>
  <c r="I53" i="4"/>
  <c r="I57" i="4"/>
  <c r="I61" i="4"/>
  <c r="G11" i="5"/>
  <c r="E11" i="5"/>
  <c r="J11" i="5"/>
  <c r="K11" i="5" s="1"/>
  <c r="B11" i="5"/>
  <c r="H11" i="5"/>
  <c r="P11" i="5"/>
  <c r="D11" i="5"/>
  <c r="O12" i="5"/>
  <c r="I46" i="4"/>
  <c r="I52" i="4"/>
  <c r="O27" i="5"/>
  <c r="I45" i="4"/>
  <c r="I51" i="4"/>
  <c r="I56" i="4"/>
  <c r="I60" i="4"/>
  <c r="O16" i="5"/>
  <c r="I44" i="4"/>
  <c r="I50" i="4"/>
  <c r="O49" i="5"/>
  <c r="O37" i="5"/>
  <c r="O24" i="5"/>
  <c r="O39" i="5"/>
  <c r="O29" i="5"/>
  <c r="O26" i="5"/>
  <c r="O20" i="5"/>
  <c r="O54" i="5"/>
  <c r="O50" i="5"/>
  <c r="O31" i="5"/>
  <c r="O9" i="5"/>
  <c r="O44" i="5"/>
  <c r="O34" i="5"/>
  <c r="O7" i="5"/>
  <c r="O8" i="5"/>
  <c r="C11" i="5"/>
  <c r="O22" i="5"/>
  <c r="I58" i="4"/>
  <c r="O13" i="5"/>
  <c r="O17" i="5"/>
  <c r="O23" i="5"/>
  <c r="O38" i="5"/>
  <c r="O48" i="5"/>
  <c r="O51" i="5"/>
  <c r="O10" i="5"/>
  <c r="O18" i="5"/>
  <c r="O19" i="5"/>
  <c r="O40" i="5"/>
  <c r="O53" i="5"/>
  <c r="O25" i="5"/>
  <c r="O32" i="5"/>
  <c r="O36" i="5"/>
  <c r="O42" i="5"/>
  <c r="O46" i="5"/>
  <c r="O35" i="5"/>
  <c r="O43" i="5"/>
  <c r="O47" i="5"/>
  <c r="O33" i="5"/>
  <c r="O52" i="5"/>
  <c r="O41" i="5"/>
  <c r="O45" i="5"/>
  <c r="E59" i="3" l="1"/>
  <c r="F59" i="3"/>
  <c r="K59" i="3" s="1"/>
  <c r="C59" i="3"/>
  <c r="B59" i="3"/>
  <c r="J59" i="3"/>
  <c r="F69" i="3"/>
  <c r="C69" i="3"/>
  <c r="G69" i="3" s="1"/>
  <c r="B69" i="3"/>
  <c r="E69" i="3"/>
  <c r="J69" i="3"/>
  <c r="G47" i="3"/>
  <c r="F33" i="3"/>
  <c r="K33" i="3" s="1"/>
  <c r="E33" i="3"/>
  <c r="J33" i="3"/>
  <c r="C33" i="3"/>
  <c r="B33" i="3"/>
  <c r="B45" i="3"/>
  <c r="J45" i="3"/>
  <c r="F45" i="3"/>
  <c r="K45" i="3" s="1"/>
  <c r="E45" i="3"/>
  <c r="C45" i="3"/>
  <c r="G45" i="3" s="1"/>
  <c r="G18" i="4"/>
  <c r="F9" i="2"/>
  <c r="G25" i="4"/>
  <c r="B22" i="4"/>
  <c r="E22" i="4"/>
  <c r="F22" i="4"/>
  <c r="J22" i="4"/>
  <c r="C22" i="4"/>
  <c r="E56" i="3"/>
  <c r="J56" i="3"/>
  <c r="C56" i="3"/>
  <c r="G56" i="3" s="1"/>
  <c r="B56" i="3"/>
  <c r="F56" i="3"/>
  <c r="K56" i="3" s="1"/>
  <c r="E42" i="3"/>
  <c r="C42" i="3"/>
  <c r="G42" i="3" s="1"/>
  <c r="B42" i="3"/>
  <c r="J42" i="3"/>
  <c r="F42" i="3"/>
  <c r="G32" i="3"/>
  <c r="G17" i="3"/>
  <c r="E53" i="3"/>
  <c r="C53" i="3"/>
  <c r="G53" i="3" s="1"/>
  <c r="B53" i="3"/>
  <c r="J53" i="3"/>
  <c r="F53" i="3"/>
  <c r="D18" i="4"/>
  <c r="K18" i="4" s="1"/>
  <c r="B9" i="2"/>
  <c r="D25" i="4"/>
  <c r="K25" i="4" s="1"/>
  <c r="K11" i="3"/>
  <c r="G34" i="3"/>
  <c r="G58" i="3"/>
  <c r="K73" i="3"/>
  <c r="E36" i="5"/>
  <c r="I36" i="5"/>
  <c r="Q36" i="5" s="1"/>
  <c r="C36" i="5"/>
  <c r="G36" i="5"/>
  <c r="F36" i="5"/>
  <c r="P36" i="5"/>
  <c r="B36" i="5"/>
  <c r="J36" i="5"/>
  <c r="K36" i="5" s="1"/>
  <c r="D36" i="5"/>
  <c r="H36" i="5"/>
  <c r="P17" i="5"/>
  <c r="I17" i="5"/>
  <c r="C17" i="5"/>
  <c r="J17" i="5"/>
  <c r="B17" i="5"/>
  <c r="G17" i="5"/>
  <c r="F17" i="5"/>
  <c r="D17" i="5"/>
  <c r="H17" i="5"/>
  <c r="E17" i="5"/>
  <c r="E7" i="5"/>
  <c r="P7" i="5"/>
  <c r="I7" i="5"/>
  <c r="Q7" i="5" s="1"/>
  <c r="C7" i="5"/>
  <c r="H7" i="5"/>
  <c r="F7" i="5"/>
  <c r="B7" i="5"/>
  <c r="J7" i="5"/>
  <c r="G7" i="5"/>
  <c r="D7" i="5"/>
  <c r="P37" i="5"/>
  <c r="I37" i="5"/>
  <c r="Q37" i="5" s="1"/>
  <c r="C37" i="5"/>
  <c r="G37" i="5"/>
  <c r="E37" i="5"/>
  <c r="D37" i="5"/>
  <c r="H37" i="5"/>
  <c r="F37" i="5"/>
  <c r="J37" i="5"/>
  <c r="B37" i="5"/>
  <c r="E12" i="5"/>
  <c r="I12" i="5"/>
  <c r="C12" i="5"/>
  <c r="P12" i="5"/>
  <c r="F12" i="5"/>
  <c r="B12" i="5"/>
  <c r="H12" i="5"/>
  <c r="G12" i="5"/>
  <c r="D12" i="5"/>
  <c r="J12" i="5"/>
  <c r="K12" i="5" s="1"/>
  <c r="E41" i="4"/>
  <c r="C41" i="4"/>
  <c r="B41" i="4"/>
  <c r="J41" i="4"/>
  <c r="F41" i="4"/>
  <c r="B26" i="4"/>
  <c r="E26" i="4"/>
  <c r="J26" i="4"/>
  <c r="F26" i="4"/>
  <c r="C26" i="4"/>
  <c r="J37" i="3"/>
  <c r="C37" i="3"/>
  <c r="G37" i="3" s="1"/>
  <c r="E37" i="3"/>
  <c r="B37" i="3"/>
  <c r="F37" i="3"/>
  <c r="K37" i="3" s="1"/>
  <c r="E52" i="3"/>
  <c r="J52" i="3"/>
  <c r="C52" i="3"/>
  <c r="G52" i="3" s="1"/>
  <c r="B52" i="3"/>
  <c r="F52" i="3"/>
  <c r="J70" i="3"/>
  <c r="C70" i="3"/>
  <c r="B70" i="3"/>
  <c r="E70" i="3"/>
  <c r="F70" i="3"/>
  <c r="K70" i="3" s="1"/>
  <c r="J32" i="5"/>
  <c r="D32" i="5"/>
  <c r="H32" i="5"/>
  <c r="B32" i="5"/>
  <c r="F32" i="5"/>
  <c r="G32" i="5"/>
  <c r="P32" i="5"/>
  <c r="C32" i="5"/>
  <c r="E32" i="5"/>
  <c r="I32" i="5"/>
  <c r="Q32" i="5" s="1"/>
  <c r="I13" i="5"/>
  <c r="Q13" i="5" s="1"/>
  <c r="C13" i="5"/>
  <c r="G13" i="5"/>
  <c r="J13" i="5"/>
  <c r="F13" i="5"/>
  <c r="D13" i="5"/>
  <c r="H13" i="5"/>
  <c r="E13" i="5"/>
  <c r="B13" i="5"/>
  <c r="P13" i="5"/>
  <c r="P20" i="5"/>
  <c r="I20" i="5"/>
  <c r="C20" i="5"/>
  <c r="G20" i="5"/>
  <c r="E20" i="5"/>
  <c r="H20" i="5"/>
  <c r="D20" i="5"/>
  <c r="B20" i="5"/>
  <c r="J20" i="5"/>
  <c r="F20" i="5"/>
  <c r="C51" i="4"/>
  <c r="E51" i="4"/>
  <c r="G51" i="4" s="1"/>
  <c r="J51" i="4"/>
  <c r="F51" i="4"/>
  <c r="B51" i="4"/>
  <c r="D51" i="4" s="1"/>
  <c r="K51" i="4" s="1"/>
  <c r="E40" i="4"/>
  <c r="C40" i="4"/>
  <c r="B40" i="4"/>
  <c r="J40" i="4"/>
  <c r="F40" i="4"/>
  <c r="E43" i="4"/>
  <c r="G43" i="4" s="1"/>
  <c r="C43" i="4"/>
  <c r="F43" i="4"/>
  <c r="B43" i="4"/>
  <c r="D43" i="4" s="1"/>
  <c r="J43" i="4"/>
  <c r="G15" i="3"/>
  <c r="C80" i="3"/>
  <c r="G80" i="3" s="1"/>
  <c r="F80" i="3"/>
  <c r="E80" i="3"/>
  <c r="B80" i="3"/>
  <c r="J80" i="3"/>
  <c r="F21" i="3"/>
  <c r="K21" i="3" s="1"/>
  <c r="E21" i="3"/>
  <c r="J21" i="3"/>
  <c r="C21" i="3"/>
  <c r="B21" i="3"/>
  <c r="J13" i="4"/>
  <c r="B13" i="4"/>
  <c r="F13" i="4"/>
  <c r="E13" i="4"/>
  <c r="C13" i="4"/>
  <c r="E43" i="5"/>
  <c r="I43" i="5"/>
  <c r="Q43" i="5" s="1"/>
  <c r="C43" i="5"/>
  <c r="G43" i="5"/>
  <c r="H43" i="5"/>
  <c r="D43" i="5"/>
  <c r="F43" i="5"/>
  <c r="P43" i="5"/>
  <c r="J43" i="5"/>
  <c r="K43" i="5" s="1"/>
  <c r="B43" i="5"/>
  <c r="J51" i="5"/>
  <c r="D51" i="5"/>
  <c r="H51" i="5"/>
  <c r="B51" i="5"/>
  <c r="F51" i="5"/>
  <c r="G51" i="5"/>
  <c r="P51" i="5"/>
  <c r="C51" i="5"/>
  <c r="E51" i="5"/>
  <c r="I51" i="5"/>
  <c r="Q51" i="5" s="1"/>
  <c r="P44" i="5"/>
  <c r="I44" i="5"/>
  <c r="C44" i="5"/>
  <c r="G44" i="5"/>
  <c r="E44" i="5"/>
  <c r="F44" i="5"/>
  <c r="B44" i="5"/>
  <c r="J44" i="5"/>
  <c r="D44" i="5"/>
  <c r="H44" i="5"/>
  <c r="E50" i="4"/>
  <c r="C50" i="4"/>
  <c r="F50" i="4"/>
  <c r="B50" i="4"/>
  <c r="J50" i="4"/>
  <c r="E61" i="4"/>
  <c r="B61" i="4"/>
  <c r="J61" i="4"/>
  <c r="F61" i="4"/>
  <c r="C61" i="4"/>
  <c r="F21" i="5"/>
  <c r="J21" i="5"/>
  <c r="D21" i="5"/>
  <c r="H21" i="5"/>
  <c r="B21" i="5"/>
  <c r="P21" i="5"/>
  <c r="C21" i="5"/>
  <c r="E21" i="5"/>
  <c r="I21" i="5"/>
  <c r="G21" i="5"/>
  <c r="K15" i="5"/>
  <c r="C33" i="4"/>
  <c r="B33" i="4"/>
  <c r="E33" i="4"/>
  <c r="F33" i="4"/>
  <c r="J33" i="4"/>
  <c r="E15" i="4"/>
  <c r="C15" i="4"/>
  <c r="F15" i="4"/>
  <c r="B15" i="4"/>
  <c r="J15" i="4"/>
  <c r="J25" i="3"/>
  <c r="C25" i="3"/>
  <c r="G25" i="3" s="1"/>
  <c r="B25" i="3"/>
  <c r="F25" i="3"/>
  <c r="K25" i="3" s="1"/>
  <c r="E25" i="3"/>
  <c r="B27" i="4"/>
  <c r="E27" i="4"/>
  <c r="F27" i="4"/>
  <c r="J27" i="4"/>
  <c r="C27" i="4"/>
  <c r="C43" i="3"/>
  <c r="G43" i="3" s="1"/>
  <c r="J43" i="3"/>
  <c r="B43" i="3"/>
  <c r="F43" i="3"/>
  <c r="K43" i="3" s="1"/>
  <c r="E43" i="3"/>
  <c r="H35" i="5"/>
  <c r="B35" i="5"/>
  <c r="F35" i="5"/>
  <c r="J35" i="5"/>
  <c r="D35" i="5"/>
  <c r="I35" i="5"/>
  <c r="Q35" i="5" s="1"/>
  <c r="E35" i="5"/>
  <c r="G35" i="5"/>
  <c r="P35" i="5"/>
  <c r="C35" i="5"/>
  <c r="E48" i="5"/>
  <c r="I48" i="5"/>
  <c r="Q48" i="5" s="1"/>
  <c r="C48" i="5"/>
  <c r="G48" i="5"/>
  <c r="F48" i="5"/>
  <c r="P48" i="5"/>
  <c r="B48" i="5"/>
  <c r="J48" i="5"/>
  <c r="K48" i="5" s="1"/>
  <c r="D48" i="5"/>
  <c r="H48" i="5"/>
  <c r="F9" i="5"/>
  <c r="J9" i="5"/>
  <c r="D9" i="5"/>
  <c r="E9" i="5"/>
  <c r="B9" i="5"/>
  <c r="H9" i="5"/>
  <c r="P9" i="5"/>
  <c r="I9" i="5"/>
  <c r="Q9" i="5" s="1"/>
  <c r="G9" i="5"/>
  <c r="C9" i="5"/>
  <c r="F29" i="5"/>
  <c r="J29" i="5"/>
  <c r="K29" i="5" s="1"/>
  <c r="D29" i="5"/>
  <c r="P29" i="5"/>
  <c r="H29" i="5"/>
  <c r="B29" i="5"/>
  <c r="G29" i="5"/>
  <c r="C29" i="5"/>
  <c r="I29" i="5"/>
  <c r="E29" i="5"/>
  <c r="F27" i="5"/>
  <c r="J27" i="5"/>
  <c r="D27" i="5"/>
  <c r="H27" i="5"/>
  <c r="B27" i="5"/>
  <c r="P27" i="5"/>
  <c r="C27" i="5"/>
  <c r="I27" i="5"/>
  <c r="Q27" i="5" s="1"/>
  <c r="E27" i="5"/>
  <c r="G27" i="5"/>
  <c r="E59" i="4"/>
  <c r="J59" i="4"/>
  <c r="C59" i="4"/>
  <c r="F59" i="4"/>
  <c r="B59" i="4"/>
  <c r="K14" i="5"/>
  <c r="C28" i="4"/>
  <c r="B28" i="4"/>
  <c r="E28" i="4"/>
  <c r="F28" i="4"/>
  <c r="J28" i="4"/>
  <c r="C34" i="4"/>
  <c r="B34" i="4"/>
  <c r="E34" i="4"/>
  <c r="F34" i="4"/>
  <c r="J34" i="4"/>
  <c r="D9" i="4"/>
  <c r="B7" i="2"/>
  <c r="J19" i="3"/>
  <c r="C19" i="3"/>
  <c r="G19" i="3" s="1"/>
  <c r="B19" i="3"/>
  <c r="E19" i="3"/>
  <c r="F19" i="3"/>
  <c r="J68" i="3"/>
  <c r="C68" i="3"/>
  <c r="G68" i="3" s="1"/>
  <c r="B68" i="3"/>
  <c r="E68" i="3"/>
  <c r="F68" i="3"/>
  <c r="I41" i="5"/>
  <c r="Q41" i="5" s="1"/>
  <c r="C41" i="5"/>
  <c r="G41" i="5"/>
  <c r="E41" i="5"/>
  <c r="H41" i="5"/>
  <c r="D41" i="5"/>
  <c r="F41" i="5"/>
  <c r="P41" i="5"/>
  <c r="J41" i="5"/>
  <c r="K41" i="5" s="1"/>
  <c r="B41" i="5"/>
  <c r="I46" i="5"/>
  <c r="Q46" i="5" s="1"/>
  <c r="C46" i="5"/>
  <c r="G46" i="5"/>
  <c r="E46" i="5"/>
  <c r="J46" i="5"/>
  <c r="K46" i="5" s="1"/>
  <c r="F46" i="5"/>
  <c r="P46" i="5"/>
  <c r="B46" i="5"/>
  <c r="D46" i="5"/>
  <c r="H46" i="5"/>
  <c r="F40" i="5"/>
  <c r="J40" i="5"/>
  <c r="D40" i="5"/>
  <c r="H40" i="5"/>
  <c r="B40" i="5"/>
  <c r="P40" i="5"/>
  <c r="C40" i="5"/>
  <c r="G40" i="5"/>
  <c r="E40" i="5"/>
  <c r="I40" i="5"/>
  <c r="F38" i="5"/>
  <c r="J38" i="5"/>
  <c r="D38" i="5"/>
  <c r="H38" i="5"/>
  <c r="B38" i="5"/>
  <c r="G38" i="5"/>
  <c r="P38" i="5"/>
  <c r="C38" i="5"/>
  <c r="E38" i="5"/>
  <c r="I38" i="5"/>
  <c r="Q38" i="5" s="1"/>
  <c r="G31" i="5"/>
  <c r="E31" i="5"/>
  <c r="P31" i="5"/>
  <c r="I31" i="5"/>
  <c r="Q31" i="5" s="1"/>
  <c r="C31" i="5"/>
  <c r="H31" i="5"/>
  <c r="F31" i="5"/>
  <c r="B31" i="5"/>
  <c r="J31" i="5"/>
  <c r="D31" i="5"/>
  <c r="P39" i="5"/>
  <c r="I39" i="5"/>
  <c r="Q39" i="5" s="1"/>
  <c r="C39" i="5"/>
  <c r="G39" i="5"/>
  <c r="E39" i="5"/>
  <c r="H39" i="5"/>
  <c r="D39" i="5"/>
  <c r="F39" i="5"/>
  <c r="J39" i="5"/>
  <c r="B39" i="5"/>
  <c r="F16" i="5"/>
  <c r="J16" i="5"/>
  <c r="C16" i="5"/>
  <c r="P16" i="5"/>
  <c r="H16" i="5"/>
  <c r="D16" i="5"/>
  <c r="G16" i="5"/>
  <c r="I16" i="5"/>
  <c r="Q16" i="5" s="1"/>
  <c r="E16" i="5"/>
  <c r="B16" i="5"/>
  <c r="E52" i="4"/>
  <c r="G52" i="4" s="1"/>
  <c r="C52" i="4"/>
  <c r="J52" i="4"/>
  <c r="F52" i="4"/>
  <c r="B52" i="4"/>
  <c r="D52" i="4" s="1"/>
  <c r="K52" i="4" s="1"/>
  <c r="E53" i="4"/>
  <c r="G53" i="4" s="1"/>
  <c r="C53" i="4"/>
  <c r="B53" i="4"/>
  <c r="D53" i="4" s="1"/>
  <c r="J53" i="4"/>
  <c r="F53" i="4"/>
  <c r="E37" i="4"/>
  <c r="C37" i="4"/>
  <c r="B37" i="4"/>
  <c r="J37" i="4"/>
  <c r="F37" i="4"/>
  <c r="C48" i="4"/>
  <c r="E48" i="4"/>
  <c r="G48" i="4" s="1"/>
  <c r="B48" i="4"/>
  <c r="D48" i="4" s="1"/>
  <c r="K48" i="4" s="1"/>
  <c r="J48" i="4"/>
  <c r="F48" i="4"/>
  <c r="Q28" i="5"/>
  <c r="C29" i="4"/>
  <c r="B29" i="4"/>
  <c r="E29" i="4"/>
  <c r="J29" i="4"/>
  <c r="F29" i="4"/>
  <c r="J54" i="4"/>
  <c r="C54" i="4"/>
  <c r="E54" i="4"/>
  <c r="G54" i="4" s="1"/>
  <c r="B54" i="4"/>
  <c r="D54" i="4" s="1"/>
  <c r="K54" i="4" s="1"/>
  <c r="F54" i="4"/>
  <c r="C61" i="3"/>
  <c r="G61" i="3" s="1"/>
  <c r="J61" i="3"/>
  <c r="F61" i="3"/>
  <c r="K61" i="3" s="1"/>
  <c r="E61" i="3"/>
  <c r="B61" i="3"/>
  <c r="J63" i="3"/>
  <c r="B63" i="3"/>
  <c r="C63" i="3"/>
  <c r="G63" i="3" s="1"/>
  <c r="F63" i="3"/>
  <c r="E63" i="3"/>
  <c r="B21" i="4"/>
  <c r="E21" i="4"/>
  <c r="F21" i="4"/>
  <c r="J21" i="4"/>
  <c r="C21" i="4"/>
  <c r="E64" i="3"/>
  <c r="J64" i="3"/>
  <c r="C64" i="3"/>
  <c r="B64" i="3"/>
  <c r="F64" i="3"/>
  <c r="K64" i="3" s="1"/>
  <c r="F17" i="4"/>
  <c r="E17" i="4"/>
  <c r="B17" i="4"/>
  <c r="J17" i="4"/>
  <c r="C17" i="4"/>
  <c r="E55" i="3"/>
  <c r="C55" i="3"/>
  <c r="G55" i="3" s="1"/>
  <c r="J55" i="3"/>
  <c r="B55" i="3"/>
  <c r="F55" i="3"/>
  <c r="E41" i="3"/>
  <c r="F41" i="3"/>
  <c r="K41" i="3" s="1"/>
  <c r="C41" i="3"/>
  <c r="J41" i="3"/>
  <c r="B41" i="3"/>
  <c r="E30" i="3"/>
  <c r="F30" i="3"/>
  <c r="C30" i="3"/>
  <c r="G30" i="3" s="1"/>
  <c r="J30" i="3"/>
  <c r="B30" i="3"/>
  <c r="C65" i="3"/>
  <c r="B65" i="3"/>
  <c r="E65" i="3"/>
  <c r="J65" i="3"/>
  <c r="F65" i="3"/>
  <c r="F71" i="3"/>
  <c r="K71" i="3" s="1"/>
  <c r="C71" i="3"/>
  <c r="G71" i="3" s="1"/>
  <c r="E71" i="3"/>
  <c r="B71" i="3"/>
  <c r="J71" i="3"/>
  <c r="K79" i="3"/>
  <c r="C24" i="2"/>
  <c r="E24" i="2" s="1"/>
  <c r="K44" i="3"/>
  <c r="G12" i="4"/>
  <c r="F8" i="2"/>
  <c r="G33" i="5"/>
  <c r="E33" i="5"/>
  <c r="I33" i="5"/>
  <c r="Q33" i="5" s="1"/>
  <c r="C33" i="5"/>
  <c r="D33" i="5"/>
  <c r="H33" i="5"/>
  <c r="F33" i="5"/>
  <c r="P33" i="5"/>
  <c r="J33" i="5"/>
  <c r="K33" i="5" s="1"/>
  <c r="B33" i="5"/>
  <c r="F18" i="5"/>
  <c r="I18" i="5"/>
  <c r="Q18" i="5" s="1"/>
  <c r="B18" i="5"/>
  <c r="G18" i="5"/>
  <c r="E18" i="5"/>
  <c r="C18" i="5"/>
  <c r="J18" i="5"/>
  <c r="D18" i="5"/>
  <c r="P18" i="5"/>
  <c r="H18" i="5"/>
  <c r="P54" i="5"/>
  <c r="I54" i="5"/>
  <c r="Q54" i="5" s="1"/>
  <c r="C54" i="5"/>
  <c r="G54" i="5"/>
  <c r="E54" i="5"/>
  <c r="H54" i="5"/>
  <c r="D54" i="5"/>
  <c r="F54" i="5"/>
  <c r="B54" i="5"/>
  <c r="J54" i="5"/>
  <c r="E56" i="4"/>
  <c r="G56" i="4" s="1"/>
  <c r="B56" i="4"/>
  <c r="D56" i="4" s="1"/>
  <c r="J56" i="4"/>
  <c r="F56" i="4"/>
  <c r="C56" i="4"/>
  <c r="E35" i="4"/>
  <c r="C35" i="4"/>
  <c r="B35" i="4"/>
  <c r="J35" i="4"/>
  <c r="F35" i="4"/>
  <c r="C31" i="4"/>
  <c r="B31" i="4"/>
  <c r="E31" i="4"/>
  <c r="J31" i="4"/>
  <c r="F31" i="4"/>
  <c r="C55" i="4"/>
  <c r="E55" i="4"/>
  <c r="G55" i="4" s="1"/>
  <c r="J55" i="4"/>
  <c r="B55" i="4"/>
  <c r="D55" i="4" s="1"/>
  <c r="K55" i="4" s="1"/>
  <c r="F55" i="4"/>
  <c r="E36" i="3"/>
  <c r="F36" i="3"/>
  <c r="K36" i="3" s="1"/>
  <c r="C36" i="3"/>
  <c r="J36" i="3"/>
  <c r="B36" i="3"/>
  <c r="E24" i="3"/>
  <c r="F24" i="3"/>
  <c r="C24" i="3"/>
  <c r="G24" i="3" s="1"/>
  <c r="J24" i="3"/>
  <c r="B24" i="3"/>
  <c r="G47" i="5"/>
  <c r="E47" i="5"/>
  <c r="I47" i="5"/>
  <c r="Q47" i="5" s="1"/>
  <c r="C47" i="5"/>
  <c r="H47" i="5"/>
  <c r="D47" i="5"/>
  <c r="F47" i="5"/>
  <c r="P47" i="5"/>
  <c r="J47" i="5"/>
  <c r="K47" i="5" s="1"/>
  <c r="B47" i="5"/>
  <c r="J10" i="5"/>
  <c r="D10" i="5"/>
  <c r="H10" i="5"/>
  <c r="B10" i="5"/>
  <c r="G10" i="5"/>
  <c r="E10" i="5"/>
  <c r="C10" i="5"/>
  <c r="P10" i="5"/>
  <c r="I10" i="5"/>
  <c r="Q10" i="5" s="1"/>
  <c r="F10" i="5"/>
  <c r="E34" i="5"/>
  <c r="P34" i="5"/>
  <c r="I34" i="5"/>
  <c r="C34" i="5"/>
  <c r="G34" i="5"/>
  <c r="B34" i="5"/>
  <c r="J34" i="5"/>
  <c r="F34" i="5"/>
  <c r="D34" i="5"/>
  <c r="H34" i="5"/>
  <c r="P49" i="5"/>
  <c r="I49" i="5"/>
  <c r="C49" i="5"/>
  <c r="G49" i="5"/>
  <c r="E49" i="5"/>
  <c r="D49" i="5"/>
  <c r="H49" i="5"/>
  <c r="F49" i="5"/>
  <c r="J49" i="5"/>
  <c r="B49" i="5"/>
  <c r="J30" i="5"/>
  <c r="D30" i="5"/>
  <c r="H30" i="5"/>
  <c r="B30" i="5"/>
  <c r="F30" i="5"/>
  <c r="P30" i="5"/>
  <c r="C30" i="5"/>
  <c r="E30" i="5"/>
  <c r="I30" i="5"/>
  <c r="Q30" i="5" s="1"/>
  <c r="G30" i="5"/>
  <c r="B20" i="4"/>
  <c r="E20" i="4"/>
  <c r="J20" i="4"/>
  <c r="F20" i="4"/>
  <c r="C20" i="4"/>
  <c r="C32" i="4"/>
  <c r="B32" i="4"/>
  <c r="E32" i="4"/>
  <c r="J32" i="4"/>
  <c r="F32" i="4"/>
  <c r="J31" i="3"/>
  <c r="C31" i="3"/>
  <c r="G31" i="3" s="1"/>
  <c r="B31" i="3"/>
  <c r="E31" i="3"/>
  <c r="F31" i="3"/>
  <c r="F27" i="3"/>
  <c r="E27" i="3"/>
  <c r="J27" i="3"/>
  <c r="C27" i="3"/>
  <c r="G27" i="3" s="1"/>
  <c r="B27" i="3"/>
  <c r="F75" i="3"/>
  <c r="C75" i="3"/>
  <c r="G75" i="3" s="1"/>
  <c r="B75" i="3"/>
  <c r="J75" i="3"/>
  <c r="E75" i="3"/>
  <c r="F57" i="3"/>
  <c r="K57" i="3" s="1"/>
  <c r="E57" i="3"/>
  <c r="C57" i="3"/>
  <c r="B57" i="3"/>
  <c r="J57" i="3"/>
  <c r="F25" i="5"/>
  <c r="J25" i="5"/>
  <c r="D25" i="5"/>
  <c r="H25" i="5"/>
  <c r="B25" i="5"/>
  <c r="G25" i="5"/>
  <c r="E25" i="5"/>
  <c r="P25" i="5"/>
  <c r="I25" i="5"/>
  <c r="C25" i="5"/>
  <c r="C58" i="4"/>
  <c r="F58" i="4"/>
  <c r="E58" i="4"/>
  <c r="B58" i="4"/>
  <c r="J58" i="4"/>
  <c r="P26" i="5"/>
  <c r="I26" i="5"/>
  <c r="C26" i="5"/>
  <c r="G26" i="5"/>
  <c r="E26" i="5"/>
  <c r="H26" i="5"/>
  <c r="D26" i="5"/>
  <c r="J26" i="5"/>
  <c r="B26" i="5"/>
  <c r="F26" i="5"/>
  <c r="C45" i="4"/>
  <c r="E45" i="4"/>
  <c r="G45" i="4" s="1"/>
  <c r="J45" i="4"/>
  <c r="F45" i="4"/>
  <c r="B45" i="4"/>
  <c r="D45" i="4" s="1"/>
  <c r="K45" i="4" s="1"/>
  <c r="E39" i="4"/>
  <c r="C39" i="4"/>
  <c r="B39" i="4"/>
  <c r="J39" i="4"/>
  <c r="F39" i="4"/>
  <c r="F19" i="4"/>
  <c r="P25" i="4" s="1"/>
  <c r="E19" i="4"/>
  <c r="C19" i="4"/>
  <c r="J19" i="4"/>
  <c r="B19" i="4"/>
  <c r="J72" i="3"/>
  <c r="C72" i="3"/>
  <c r="G72" i="3" s="1"/>
  <c r="B72" i="3"/>
  <c r="E72" i="3"/>
  <c r="F72" i="3"/>
  <c r="K72" i="3" s="1"/>
  <c r="J74" i="3"/>
  <c r="C74" i="3"/>
  <c r="B74" i="3"/>
  <c r="E74" i="3"/>
  <c r="F74" i="3"/>
  <c r="K74" i="3" s="1"/>
  <c r="F45" i="5"/>
  <c r="J45" i="5"/>
  <c r="D45" i="5"/>
  <c r="H45" i="5"/>
  <c r="B45" i="5"/>
  <c r="I45" i="5"/>
  <c r="Q45" i="5" s="1"/>
  <c r="E45" i="5"/>
  <c r="G45" i="5"/>
  <c r="P45" i="5"/>
  <c r="C45" i="5"/>
  <c r="E53" i="5"/>
  <c r="I53" i="5"/>
  <c r="Q53" i="5" s="1"/>
  <c r="C53" i="5"/>
  <c r="G53" i="5"/>
  <c r="P53" i="5"/>
  <c r="B53" i="5"/>
  <c r="J53" i="5"/>
  <c r="F53" i="5"/>
  <c r="D53" i="5"/>
  <c r="H53" i="5"/>
  <c r="P22" i="5"/>
  <c r="I22" i="5"/>
  <c r="C22" i="5"/>
  <c r="G22" i="5"/>
  <c r="E22" i="5"/>
  <c r="H22" i="5"/>
  <c r="F22" i="5"/>
  <c r="B22" i="5"/>
  <c r="J22" i="5"/>
  <c r="D22" i="5"/>
  <c r="E44" i="4"/>
  <c r="G44" i="4" s="1"/>
  <c r="C44" i="4"/>
  <c r="F44" i="4"/>
  <c r="B44" i="4"/>
  <c r="D44" i="4" s="1"/>
  <c r="K44" i="4" s="1"/>
  <c r="J44" i="4"/>
  <c r="B57" i="4"/>
  <c r="D57" i="4" s="1"/>
  <c r="K57" i="4" s="1"/>
  <c r="F57" i="4"/>
  <c r="J57" i="4"/>
  <c r="E57" i="4"/>
  <c r="G57" i="4" s="1"/>
  <c r="C57" i="4"/>
  <c r="E38" i="4"/>
  <c r="C38" i="4"/>
  <c r="B38" i="4"/>
  <c r="J38" i="4"/>
  <c r="F38" i="4"/>
  <c r="K28" i="5"/>
  <c r="G52" i="5"/>
  <c r="E52" i="5"/>
  <c r="I52" i="5"/>
  <c r="Q52" i="5" s="1"/>
  <c r="C52" i="5"/>
  <c r="D52" i="5"/>
  <c r="H52" i="5"/>
  <c r="F52" i="5"/>
  <c r="B52" i="5"/>
  <c r="P52" i="5"/>
  <c r="J52" i="5"/>
  <c r="K52" i="5" s="1"/>
  <c r="G42" i="5"/>
  <c r="E42" i="5"/>
  <c r="I42" i="5"/>
  <c r="Q42" i="5" s="1"/>
  <c r="C42" i="5"/>
  <c r="J42" i="5"/>
  <c r="F42" i="5"/>
  <c r="P42" i="5"/>
  <c r="B42" i="5"/>
  <c r="D42" i="5"/>
  <c r="H42" i="5"/>
  <c r="E19" i="5"/>
  <c r="I19" i="5"/>
  <c r="Q19" i="5" s="1"/>
  <c r="C19" i="5"/>
  <c r="J19" i="5"/>
  <c r="K19" i="5" s="1"/>
  <c r="G19" i="5"/>
  <c r="B19" i="5"/>
  <c r="F19" i="5"/>
  <c r="H19" i="5"/>
  <c r="D19" i="5"/>
  <c r="P19" i="5"/>
  <c r="F23" i="5"/>
  <c r="J23" i="5"/>
  <c r="D23" i="5"/>
  <c r="H23" i="5"/>
  <c r="B23" i="5"/>
  <c r="G23" i="5"/>
  <c r="P23" i="5"/>
  <c r="C23" i="5"/>
  <c r="I23" i="5"/>
  <c r="Q23" i="5" s="1"/>
  <c r="E23" i="5"/>
  <c r="P8" i="5"/>
  <c r="H8" i="5"/>
  <c r="B8" i="5"/>
  <c r="F8" i="5"/>
  <c r="C8" i="5"/>
  <c r="I8" i="5"/>
  <c r="E8" i="5"/>
  <c r="J8" i="5"/>
  <c r="K8" i="5" s="1"/>
  <c r="G8" i="5"/>
  <c r="D8" i="5"/>
  <c r="F50" i="5"/>
  <c r="J50" i="5"/>
  <c r="D50" i="5"/>
  <c r="P50" i="5"/>
  <c r="H50" i="5"/>
  <c r="B50" i="5"/>
  <c r="G50" i="5"/>
  <c r="C50" i="5"/>
  <c r="E50" i="5"/>
  <c r="I50" i="5"/>
  <c r="Q50" i="5" s="1"/>
  <c r="P24" i="5"/>
  <c r="I24" i="5"/>
  <c r="C24" i="5"/>
  <c r="G24" i="5"/>
  <c r="E24" i="5"/>
  <c r="D24" i="5"/>
  <c r="J24" i="5"/>
  <c r="F24" i="5"/>
  <c r="H24" i="5"/>
  <c r="B24" i="5"/>
  <c r="J60" i="4"/>
  <c r="F60" i="4"/>
  <c r="C60" i="4"/>
  <c r="E60" i="4"/>
  <c r="B60" i="4"/>
  <c r="E46" i="4"/>
  <c r="G46" i="4" s="1"/>
  <c r="C46" i="4"/>
  <c r="J46" i="4"/>
  <c r="F46" i="4"/>
  <c r="B46" i="4"/>
  <c r="D46" i="4" s="1"/>
  <c r="E47" i="4"/>
  <c r="G47" i="4" s="1"/>
  <c r="C47" i="4"/>
  <c r="B47" i="4"/>
  <c r="D47" i="4" s="1"/>
  <c r="K47" i="4" s="1"/>
  <c r="J47" i="4"/>
  <c r="F47" i="4"/>
  <c r="E36" i="4"/>
  <c r="C36" i="4"/>
  <c r="B36" i="4"/>
  <c r="J36" i="4"/>
  <c r="F36" i="4"/>
  <c r="C42" i="4"/>
  <c r="E42" i="4"/>
  <c r="B42" i="4"/>
  <c r="J42" i="4"/>
  <c r="F42" i="4"/>
  <c r="C30" i="4"/>
  <c r="B30" i="4"/>
  <c r="E30" i="4"/>
  <c r="J30" i="4"/>
  <c r="F30" i="4"/>
  <c r="E49" i="4"/>
  <c r="G49" i="4" s="1"/>
  <c r="C49" i="4"/>
  <c r="F49" i="4"/>
  <c r="B49" i="4"/>
  <c r="D49" i="4" s="1"/>
  <c r="J49" i="4"/>
  <c r="E46" i="3"/>
  <c r="F46" i="3"/>
  <c r="K46" i="3" s="1"/>
  <c r="C46" i="3"/>
  <c r="G46" i="3" s="1"/>
  <c r="B46" i="3"/>
  <c r="J46" i="3"/>
  <c r="K48" i="3"/>
  <c r="J16" i="4"/>
  <c r="B16" i="4"/>
  <c r="F16" i="4"/>
  <c r="E16" i="4"/>
  <c r="C16" i="4"/>
  <c r="K29" i="3"/>
  <c r="G9" i="4"/>
  <c r="F7" i="2"/>
  <c r="H7" i="2" s="1"/>
  <c r="E54" i="3"/>
  <c r="J54" i="3"/>
  <c r="C54" i="3"/>
  <c r="F54" i="3"/>
  <c r="K54" i="3" s="1"/>
  <c r="B54" i="3"/>
  <c r="G38" i="3"/>
  <c r="G26" i="3"/>
  <c r="B23" i="4"/>
  <c r="E23" i="4"/>
  <c r="C23" i="4"/>
  <c r="F23" i="4"/>
  <c r="J23" i="4"/>
  <c r="J76" i="3"/>
  <c r="C76" i="3"/>
  <c r="G76" i="3" s="1"/>
  <c r="B76" i="3"/>
  <c r="E76" i="3"/>
  <c r="F76" i="3"/>
  <c r="K76" i="3" s="1"/>
  <c r="E40" i="3"/>
  <c r="F40" i="3"/>
  <c r="C40" i="3"/>
  <c r="G40" i="3" s="1"/>
  <c r="B40" i="3"/>
  <c r="J40" i="3"/>
  <c r="G23" i="3"/>
  <c r="F49" i="3"/>
  <c r="E49" i="3"/>
  <c r="C49" i="3"/>
  <c r="G49" i="3" s="1"/>
  <c r="B49" i="3"/>
  <c r="J49" i="3"/>
  <c r="F50" i="3"/>
  <c r="E50" i="3"/>
  <c r="C50" i="3"/>
  <c r="B50" i="3"/>
  <c r="J50" i="3"/>
  <c r="G60" i="3"/>
  <c r="B24" i="4"/>
  <c r="E24" i="4"/>
  <c r="C24" i="4"/>
  <c r="J24" i="4"/>
  <c r="F24" i="4"/>
  <c r="K13" i="3"/>
  <c r="G79" i="3"/>
  <c r="B24" i="2"/>
  <c r="B39" i="3"/>
  <c r="F39" i="3"/>
  <c r="K39" i="3" s="1"/>
  <c r="E39" i="3"/>
  <c r="C39" i="3"/>
  <c r="J39" i="3"/>
  <c r="K22" i="3"/>
  <c r="G16" i="3"/>
  <c r="K62" i="3"/>
  <c r="G28" i="3"/>
  <c r="D12" i="4"/>
  <c r="K12" i="4" s="1"/>
  <c r="B8" i="2"/>
  <c r="G67" i="3"/>
  <c r="Q29" i="5" l="1"/>
  <c r="M27" i="4"/>
  <c r="D27" i="4"/>
  <c r="K27" i="4" s="1"/>
  <c r="Q21" i="5"/>
  <c r="K43" i="4"/>
  <c r="M40" i="4"/>
  <c r="D40" i="4"/>
  <c r="K13" i="5"/>
  <c r="K69" i="3"/>
  <c r="K24" i="5"/>
  <c r="L24" i="5"/>
  <c r="B10" i="2"/>
  <c r="D19" i="4"/>
  <c r="P32" i="4"/>
  <c r="G32" i="4"/>
  <c r="G65" i="3"/>
  <c r="B23" i="2"/>
  <c r="K22" i="5"/>
  <c r="L22" i="5"/>
  <c r="K53" i="5"/>
  <c r="P39" i="4"/>
  <c r="G39" i="4"/>
  <c r="D32" i="4"/>
  <c r="M32" i="4"/>
  <c r="M20" i="4"/>
  <c r="D20" i="4"/>
  <c r="K20" i="4" s="1"/>
  <c r="K49" i="5"/>
  <c r="L49" i="5"/>
  <c r="K34" i="5"/>
  <c r="L34" i="5"/>
  <c r="K24" i="3"/>
  <c r="D29" i="4"/>
  <c r="K29" i="4" s="1"/>
  <c r="M29" i="4"/>
  <c r="P37" i="4"/>
  <c r="G37" i="4"/>
  <c r="D34" i="4"/>
  <c r="M34" i="4"/>
  <c r="D24" i="2"/>
  <c r="P24" i="4"/>
  <c r="G24" i="4"/>
  <c r="K49" i="3"/>
  <c r="G42" i="4"/>
  <c r="F12" i="2"/>
  <c r="Q22" i="5"/>
  <c r="G19" i="4"/>
  <c r="F10" i="2"/>
  <c r="H10" i="2" s="1"/>
  <c r="F14" i="2"/>
  <c r="G58" i="4"/>
  <c r="Q49" i="5"/>
  <c r="D35" i="4"/>
  <c r="K35" i="4" s="1"/>
  <c r="M35" i="4"/>
  <c r="K56" i="4"/>
  <c r="K65" i="3"/>
  <c r="C23" i="2"/>
  <c r="G41" i="3"/>
  <c r="K63" i="3"/>
  <c r="L16" i="5"/>
  <c r="K16" i="5"/>
  <c r="L38" i="5"/>
  <c r="K38" i="5"/>
  <c r="G7" i="2"/>
  <c r="D7" i="2"/>
  <c r="E7" i="2"/>
  <c r="P33" i="4"/>
  <c r="G33" i="4"/>
  <c r="L21" i="5"/>
  <c r="K21" i="5"/>
  <c r="G21" i="3"/>
  <c r="L32" i="5"/>
  <c r="K32" i="5"/>
  <c r="K52" i="3"/>
  <c r="B11" i="2"/>
  <c r="D41" i="4"/>
  <c r="K7" i="5"/>
  <c r="L7" i="5"/>
  <c r="K53" i="3"/>
  <c r="H9" i="2"/>
  <c r="K31" i="5"/>
  <c r="L31" i="5"/>
  <c r="K19" i="3"/>
  <c r="K9" i="4"/>
  <c r="D33" i="4"/>
  <c r="K33" i="4" s="1"/>
  <c r="M33" i="4"/>
  <c r="L51" i="5"/>
  <c r="K51" i="5"/>
  <c r="K80" i="3"/>
  <c r="P40" i="4"/>
  <c r="G40" i="4"/>
  <c r="P26" i="4"/>
  <c r="G26" i="4"/>
  <c r="K37" i="5"/>
  <c r="K42" i="3"/>
  <c r="K20" i="5"/>
  <c r="L20" i="5"/>
  <c r="M26" i="4"/>
  <c r="D26" i="4"/>
  <c r="K26" i="4" s="1"/>
  <c r="K17" i="5"/>
  <c r="L17" i="5"/>
  <c r="P22" i="4"/>
  <c r="G22" i="4"/>
  <c r="G33" i="3"/>
  <c r="G59" i="3"/>
  <c r="M30" i="4"/>
  <c r="D30" i="4"/>
  <c r="K30" i="4" s="1"/>
  <c r="L25" i="5"/>
  <c r="K25" i="5"/>
  <c r="P29" i="4"/>
  <c r="G29" i="4"/>
  <c r="G50" i="3"/>
  <c r="B22" i="2"/>
  <c r="I2" i="3"/>
  <c r="K40" i="3"/>
  <c r="P38" i="4"/>
  <c r="G38" i="4"/>
  <c r="E8" i="2"/>
  <c r="D8" i="2"/>
  <c r="G8" i="2"/>
  <c r="M24" i="4"/>
  <c r="D24" i="4"/>
  <c r="K24" i="4" s="1"/>
  <c r="K50" i="3"/>
  <c r="I3" i="3"/>
  <c r="C22" i="2"/>
  <c r="E22" i="2" s="1"/>
  <c r="M36" i="4"/>
  <c r="D36" i="4"/>
  <c r="K36" i="4" s="1"/>
  <c r="K50" i="5"/>
  <c r="Q8" i="5"/>
  <c r="G74" i="3"/>
  <c r="K26" i="5"/>
  <c r="L26" i="5"/>
  <c r="Q26" i="5"/>
  <c r="D58" i="4"/>
  <c r="K58" i="4" s="1"/>
  <c r="B14" i="2"/>
  <c r="P31" i="4"/>
  <c r="G31" i="4"/>
  <c r="G39" i="3"/>
  <c r="K42" i="5"/>
  <c r="L45" i="5"/>
  <c r="K45" i="5"/>
  <c r="G57" i="3"/>
  <c r="K27" i="3"/>
  <c r="M31" i="4"/>
  <c r="D31" i="4"/>
  <c r="P35" i="4"/>
  <c r="G35" i="4"/>
  <c r="K54" i="5"/>
  <c r="L54" i="5"/>
  <c r="H8" i="2"/>
  <c r="K30" i="3"/>
  <c r="K53" i="4"/>
  <c r="Q40" i="5"/>
  <c r="K68" i="3"/>
  <c r="G59" i="4"/>
  <c r="F15" i="2"/>
  <c r="L27" i="5"/>
  <c r="K27" i="5"/>
  <c r="D61" i="4"/>
  <c r="B16" i="2"/>
  <c r="K44" i="5"/>
  <c r="L44" i="5"/>
  <c r="Q44" i="5"/>
  <c r="P23" i="4"/>
  <c r="G23" i="4"/>
  <c r="G54" i="3"/>
  <c r="K49" i="4"/>
  <c r="P30" i="4"/>
  <c r="G30" i="4"/>
  <c r="P36" i="4"/>
  <c r="G36" i="4"/>
  <c r="K46" i="4"/>
  <c r="Q24" i="5"/>
  <c r="L23" i="5"/>
  <c r="K23" i="5"/>
  <c r="M38" i="4"/>
  <c r="D38" i="4"/>
  <c r="K38" i="4" s="1"/>
  <c r="M39" i="4"/>
  <c r="D39" i="4"/>
  <c r="K39" i="4" s="1"/>
  <c r="Q25" i="5"/>
  <c r="K75" i="3"/>
  <c r="K31" i="3"/>
  <c r="L30" i="5"/>
  <c r="K30" i="5"/>
  <c r="Q34" i="5"/>
  <c r="K10" i="5"/>
  <c r="L10" i="5"/>
  <c r="G36" i="3"/>
  <c r="L18" i="5"/>
  <c r="K18" i="5"/>
  <c r="K55" i="3"/>
  <c r="G64" i="3"/>
  <c r="P21" i="4"/>
  <c r="G21" i="4"/>
  <c r="M37" i="4"/>
  <c r="D37" i="4"/>
  <c r="K37" i="4" s="1"/>
  <c r="K39" i="5"/>
  <c r="L39" i="5"/>
  <c r="P28" i="4"/>
  <c r="G28" i="4"/>
  <c r="D59" i="4"/>
  <c r="B15" i="2"/>
  <c r="G61" i="4"/>
  <c r="F16" i="2"/>
  <c r="G50" i="4"/>
  <c r="F13" i="2"/>
  <c r="Q20" i="5"/>
  <c r="G41" i="4"/>
  <c r="F11" i="2"/>
  <c r="M25" i="4"/>
  <c r="D22" i="4"/>
  <c r="K22" i="4" s="1"/>
  <c r="M22" i="4"/>
  <c r="D23" i="4"/>
  <c r="K23" i="4" s="1"/>
  <c r="M23" i="4"/>
  <c r="D42" i="4"/>
  <c r="K42" i="4" s="1"/>
  <c r="B12" i="2"/>
  <c r="P20" i="4"/>
  <c r="G20" i="4"/>
  <c r="M21" i="4"/>
  <c r="D21" i="4"/>
  <c r="K21" i="4" s="1"/>
  <c r="L40" i="5"/>
  <c r="K40" i="5"/>
  <c r="P34" i="4"/>
  <c r="G34" i="4"/>
  <c r="M28" i="4"/>
  <c r="D28" i="4"/>
  <c r="K28" i="4" s="1"/>
  <c r="K9" i="5"/>
  <c r="L35" i="5"/>
  <c r="K35" i="5"/>
  <c r="P27" i="4"/>
  <c r="G27" i="4"/>
  <c r="D50" i="4"/>
  <c r="K50" i="4" s="1"/>
  <c r="B13" i="2"/>
  <c r="G70" i="3"/>
  <c r="Q12" i="5"/>
  <c r="Q17" i="5"/>
  <c r="D9" i="2"/>
  <c r="E9" i="2"/>
  <c r="G9" i="2"/>
  <c r="H13" i="2" l="1"/>
  <c r="B17" i="2"/>
  <c r="G11" i="2"/>
  <c r="D11" i="2"/>
  <c r="E11" i="2"/>
  <c r="E23" i="2"/>
  <c r="C25" i="2"/>
  <c r="K34" i="4"/>
  <c r="D10" i="2"/>
  <c r="G10" i="2"/>
  <c r="E10" i="2"/>
  <c r="H11" i="2"/>
  <c r="F17" i="2"/>
  <c r="D22" i="2"/>
  <c r="B18" i="2"/>
  <c r="G16" i="2"/>
  <c r="D16" i="2"/>
  <c r="E16" i="2"/>
  <c r="K31" i="4"/>
  <c r="H14" i="2"/>
  <c r="K32" i="4"/>
  <c r="B25" i="2"/>
  <c r="D23" i="2"/>
  <c r="G12" i="2"/>
  <c r="D12" i="2"/>
  <c r="E12" i="2"/>
  <c r="F18" i="2"/>
  <c r="H16" i="2"/>
  <c r="H15" i="2"/>
  <c r="D13" i="2"/>
  <c r="G13" i="2"/>
  <c r="E13" i="2"/>
  <c r="D15" i="2"/>
  <c r="G15" i="2"/>
  <c r="K59" i="4"/>
  <c r="K61" i="4"/>
  <c r="E14" i="2"/>
  <c r="D14" i="2"/>
  <c r="G14" i="2"/>
  <c r="K41" i="4"/>
  <c r="H12" i="2"/>
  <c r="K19" i="4"/>
  <c r="K4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<sst xmlns="http://schemas.openxmlformats.org/spreadsheetml/2006/main" count="659" uniqueCount="322">
  <si>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</si>
  <si>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</si>
  <si>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</si>
  <si>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/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</si>
  <si>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</si>
  <si>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</si>
  <si>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</si>
  <si>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</si>
  <si>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</si>
  <si>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</si>
  <si>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</si>
  <si>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</si>
  <si>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</si>
  <si>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</si>
  <si>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전년동기 대비 (2025년 1~6월)</t>
  </si>
  <si>
    <t>전기 대비 (2025년 연간)</t>
  </si>
  <si>
    <t>당기(1~6월)</t>
  </si>
  <si>
    <t>전년동기(1~6월)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</si>
  <si>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</si>
  <si>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</si>
  <si>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</si>
  <si>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</si>
  <si>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</si>
  <si>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</si>
  <si>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</si>
  <si>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</si>
  <si>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</si>
  <si>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</si>
  <si>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</si>
  <si>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</si>
  <si>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</si>
  <si>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</si>
  <si>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</si>
  <si>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</si>
  <si>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</si>
  <si>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</si>
  <si>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</si>
  <si>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</si>
  <si>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</si>
  <si>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</si>
  <si>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</si>
  <si>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</si>
  <si>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</si>
  <si>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</si>
  <si>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</si>
  <si>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</si>
  <si>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</si>
  <si>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</si>
  <si>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</si>
  <si>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</si>
  <si>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</si>
  <si>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</si>
  <si>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</si>
  <si>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</si>
  <si>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</si>
  <si>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</si>
  <si>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</si>
  <si>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</si>
  <si>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</si>
  <si>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</si>
  <si>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</si>
  <si>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</si>
  <si>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</si>
  <si>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</si>
  <si>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</si>
  <si>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</si>
  <si>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</si>
  <si>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</si>
  <si>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</si>
  <si>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</si>
  <si>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</si>
  <si>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</si>
  <si>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</si>
  <si>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</si>
  <si>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</si>
  <si>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</si>
  <si>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</si>
  <si>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</si>
  <si>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</si>
  <si>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</si>
  <si>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</si>
  <si>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</si>
  <si>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</si>
  <si>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</si>
  <si>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</si>
  <si>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</si>
  <si>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</si>
  <si>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</si>
  <si>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</si>
  <si>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</si>
  <si>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</si>
  <si>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</si>
  <si>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</si>
  <si>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</si>
  <si>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</si>
  <si>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</si>
  <si>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</si>
  <si>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</si>
  <si>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</si>
  <si>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</si>
  <si>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</si>
  <si>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</si>
  <si>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</si>
  <si>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</si>
  <si>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</si>
  <si>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</si>
  <si>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</si>
  <si>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</si>
  <si>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</si>
  <si>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</si>
  <si>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</si>
  <si>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</si>
  <si>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</si>
  <si>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</si>
  <si>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</si>
  <si>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</si>
  <si>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</si>
  <si>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</si>
  <si>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</si>
  <si>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</si>
  <si>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</si>
  <si>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</si>
  <si>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</si>
  <si>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</si>
  <si>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</si>
  <si>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</si>
  <si>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</si>
  <si>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</si>
  <si>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</si>
  <si>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</si>
  <si>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</si>
  <si>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</si>
  <si>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</si>
  <si>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</si>
  <si>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</si>
  <si>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</si>
  <si>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</si>
  <si>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</si>
  <si>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</si>
  <si>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</si>
  <si>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</si>
  <si>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</si>
  <si>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</si>
  <si>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</si>
  <si>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</si>
  <si>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</si>
  <si>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</si>
  <si>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</si>
  <si>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</si>
  <si>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</si>
  <si>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</si>
  <si>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</si>
  <si>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</si>
  <si>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</si>
  <si>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</si>
  <si>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</si>
  <si>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</si>
  <si>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</si>
  <si>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</si>
  <si>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</si>
  <si>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</si>
  <si>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</si>
  <si>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</si>
  <si>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</si>
  <si>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</si>
  <si>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</si>
  <si>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</si>
  <si>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</si>
  <si>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</si>
  <si>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</si>
  <si>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</si>
  <si>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</si>
  <si>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</si>
  <si>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</si>
  <si>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</si>
  <si>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</si>
  <si>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</si>
  <si>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</si>
  <si>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</si>
  <si>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</si>
  <si>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</si>
  <si>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</si>
  <si>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</si>
  <si>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</si>
  <si>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</si>
  <si>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</si>
  <si>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</si>
  <si>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</si>
  <si>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</si>
  <si>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</si>
  <si>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</si>
  <si>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</si>
  <si>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</si>
  <si>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</si>
  <si>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</si>
  <si>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</si>
  <si>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</si>
  <si>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</si>
  <si>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변동없음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</si>
  <si>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</si>
  <si>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</si>
  <si>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</si>
  <si>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</si>
  <si>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</si>
  <si>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</si>
  <si>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</si>
  <si>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</si>
  <si>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</si>
  <si>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</si>
  <si>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</si>
  <si>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</si>
  <si>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</si>
  <si>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</si>
  <si>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</si>
  <si>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</si>
  <si>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</si>
  <si>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</si>
  <si>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</si>
  <si>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</si>
  <si>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</si>
  <si>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</si>
  <si>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</si>
  <si>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</si>
  <si>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</si>
  <si>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</si>
  <si>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</si>
  <si>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</si>
  <si>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</si>
  <si>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</si>
  <si>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</si>
  <si>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</si>
  <si>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</si>
  <si>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</si>
  <si>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</si>
  <si>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</si>
  <si>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</si>
  <si>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</si>
  <si>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</si>
  <si>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</si>
  <si>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</si>
  <si>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</si>
  <si>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</si>
  <si>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</si>
  <si>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</si>
  <si>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</si>
  <si>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</si>
  <si>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</si>
  <si>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</si>
  <si>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</si>
  <si>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</si>
  <si>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</si>
  <si>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</si>
  <si>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</si>
  <si>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</si>
  <si>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</si>
  <si>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</si>
  <si>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</si>
  <si>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</si>
  <si>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</si>
  <si>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</si>
  <si>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</si>
  <si>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</si>
  <si>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</si>
  <si>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</si>
  <si>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</si>
  <si>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</si>
  <si>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</si>
  <si>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</si>
  <si>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</si>
  <si>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</si>
  <si>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</si>
  <si>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</si>
  <si>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</si>
  <si>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</si>
  <si>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</si>
  <si>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</si>
  <si>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</si>
  <si>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</si>
  <si>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</si>
  <si>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</si>
  <si>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</si>
  <si>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</si>
  <si>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</si>
  <si>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</si>
  <si>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</si>
  <si>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</si>
  <si>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</si>
  <si>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</si>
  <si>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</si>
  <si>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</si>
  <si>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</si>
  <si>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</si>
  <si>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</si>
  <si>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</si>
  <si>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</si>
  <si>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</si>
  <si>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</si>
  <si>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</si>
  <si>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</si>
  <si>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</si>
  <si>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</si>
  <si>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</si>
  <si>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</si>
  <si>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</si>
  <si>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</si>
  <si>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</si>
  <si>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</si>
  <si>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</si>
  <si>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</si>
  <si>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</si>
  <si>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</si>
  <si>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</si>
  <si>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</si>
  <si>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</si>
  <si>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</si>
  <si>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 xml:space="preserve">      유형자산 처분 이익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</si>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</sst>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" xfId="0" applyBorder="1"/>
    <xf numFmtId="0" fontId="0" fillId="0" borderId="31" xfId="0" applyBorder="1"/>
    <xf numFmtId="0" fontId="10" fillId="0" borderId="1" xfId="0" applyFont="1" applyBorder="1" applyAlignment="1">
      <alignment horizontal="left" vertical="center"/>
    </xf>
    <xf numFmtId="0" fontId="0" fillId="0" borderId="32" xfId="0" applyBorder="1"/>
    <xf numFmtId="0" fontId="0" fillId="0" borderId="23" xfId="0" applyBorder="1"/>
    <xf numFmtId="0" fontId="9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그래프_월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그래프_매출액</c:f>
              <c:numCache>
                <c:formatCode>#,##0,;\(#,##0,\);\-</c:formatCode>
                <c:ptCount val="6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그래프_월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그래프_영업이익</c:f>
              <c:numCache>
                <c:formatCode>#,##0,;\(#,##0,\);\-</c:formatCode>
                <c:ptCount val="6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34" t="str">
        <f>TEXT($K$1,"yyyy")&amp;"년 1월~"&amp;MONTH($K$1)&amp;"월 월차 결산서 [ ㈜ 창현 ]"</f>
        <v>2026년 1월~7월 월차 결산서 [ ㈜ 창현 ]</v>
      </c>
      <c r="B1" s="135"/>
      <c r="C1" s="135"/>
      <c r="D1" s="135"/>
      <c r="E1" s="135"/>
      <c r="F1" s="135"/>
      <c r="G1" s="135"/>
      <c r="H1" s="135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7" t="s">
        <v>2</v>
      </c>
      <c r="B3" s="135"/>
      <c r="C3" s="135"/>
      <c r="D3" s="135"/>
      <c r="E3" s="135"/>
      <c r="F3" s="135"/>
      <c r="G3" s="135"/>
      <c r="H3" s="135"/>
    </row>
    <row r="4" spans="1:13" ht="34.5" customHeight="1">
      <c r="A4" t="s">
        <v>3</v>
      </c>
    </row>
    <row r="5" spans="1:13" ht="40.5" customHeight="1">
      <c r="A5" s="7" t="s">
        <v>4</v>
      </c>
      <c r="B5" s="136" t="s">
        <v>5</v>
      </c>
      <c r="C5" s="131"/>
      <c r="D5" s="131"/>
      <c r="E5" s="131"/>
      <c r="F5" s="131"/>
      <c r="G5" s="131"/>
      <c r="H5" s="132"/>
    </row>
    <row r="6" spans="1:13" ht="43.5" customHeight="1">
      <c r="A6" s="8">
        <v>1</v>
      </c>
      <c r="B6" s="133" t="s">
        <v>6</v>
      </c>
      <c r="C6" s="131"/>
      <c r="D6" s="131"/>
      <c r="E6" s="131"/>
      <c r="F6" s="131"/>
      <c r="G6" s="131"/>
      <c r="H6" s="132"/>
    </row>
    <row r="7" spans="1:13" ht="43.5" customHeight="1">
      <c r="A7" s="9">
        <v>2</v>
      </c>
      <c r="B7" s="130" t="str">
        <f>"재무상태표 ["&amp;TEXT($K$1,"yyyy")&amp;"년"&amp;TEXT(MONTH($K$1),"00")&amp;"월"&amp;TEXT(DAY($K$1),"00")&amp;"일"&amp;" 현재]"</f>
        <v>재무상태표 [2026년07월31일 현재]</v>
      </c>
      <c r="C7" s="131"/>
      <c r="D7" s="131"/>
      <c r="E7" s="131"/>
      <c r="F7" s="131"/>
      <c r="G7" s="131"/>
      <c r="H7" s="132"/>
    </row>
    <row r="8" spans="1:13" ht="43.5" customHeight="1">
      <c r="A8" s="8">
        <v>3</v>
      </c>
      <c r="B8" s="133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31"/>
      <c r="D8" s="131"/>
      <c r="E8" s="131"/>
      <c r="F8" s="131"/>
      <c r="G8" s="131"/>
      <c r="H8" s="132"/>
    </row>
    <row r="9" spans="1:13" ht="43.5" customHeight="1">
      <c r="A9" s="9">
        <v>4</v>
      </c>
      <c r="B9" s="130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31"/>
      <c r="D9" s="131"/>
      <c r="E9" s="131"/>
      <c r="F9" s="131"/>
      <c r="G9" s="131"/>
      <c r="H9" s="132"/>
    </row>
    <row r="10" spans="1:13" ht="43.5" customHeight="1">
      <c r="A10" s="8">
        <v>5</v>
      </c>
      <c r="B10" s="138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31"/>
      <c r="D10" s="131"/>
      <c r="E10" s="131"/>
      <c r="F10" s="131"/>
      <c r="G10" s="131"/>
      <c r="H10" s="132"/>
    </row>
    <row r="11" spans="1:13" ht="43.5" customHeight="1">
      <c r="A11" s="9">
        <v>6</v>
      </c>
      <c r="B11" s="139" t="str">
        <f>TEXT($K$1,"yyyy")&amp;"년 차량별 비용현황[연간누계/월별/당월상세]"</f>
        <v>2026년 차량별 비용현황[연간누계/월별/당월상세]</v>
      </c>
      <c r="C11" s="131"/>
      <c r="D11" s="131"/>
      <c r="E11" s="131"/>
      <c r="F11" s="131"/>
      <c r="G11" s="131"/>
      <c r="H11" s="132"/>
    </row>
    <row r="12" spans="1:13" ht="43.5" customHeight="1">
      <c r="A12" s="8">
        <v>7</v>
      </c>
      <c r="B12" s="138" t="str">
        <f>TEXT($K$1,"yyyy")&amp;"년 운송비 개인별 비용"</f>
        <v>2026년 운송비 개인별 비용</v>
      </c>
      <c r="C12" s="131"/>
      <c r="D12" s="131"/>
      <c r="E12" s="131"/>
      <c r="F12" s="131"/>
      <c r="G12" s="131"/>
      <c r="H12" s="132"/>
    </row>
    <row r="13" spans="1:13" ht="18" customHeight="1"/>
    <row r="14" spans="1:13" ht="32.25" customHeight="1"/>
    <row r="15" spans="1:13" ht="9.75" customHeight="1">
      <c r="D15" s="140" t="s">
        <v>7</v>
      </c>
      <c r="E15" s="126" t="s">
        <v>8</v>
      </c>
      <c r="F15" s="126" t="s">
        <v>9</v>
      </c>
      <c r="G15" s="126" t="s">
        <v>10</v>
      </c>
      <c r="H15" s="126" t="s">
        <v>11</v>
      </c>
    </row>
    <row r="16" spans="1:13" ht="27.75" customHeight="1">
      <c r="D16" s="129"/>
      <c r="E16" s="127"/>
      <c r="F16" s="127"/>
      <c r="G16" s="127"/>
      <c r="H16" s="127"/>
    </row>
    <row r="17" spans="4:8" ht="21" customHeight="1">
      <c r="D17" s="129"/>
      <c r="E17" s="128"/>
      <c r="F17" s="128"/>
      <c r="G17" s="128"/>
      <c r="H17" s="128"/>
    </row>
    <row r="18" spans="4:8" ht="21" customHeight="1">
      <c r="D18" s="129"/>
      <c r="E18" s="129"/>
      <c r="F18" s="129"/>
      <c r="G18" s="129"/>
      <c r="H18" s="129"/>
    </row>
    <row r="19" spans="4:8" ht="15" customHeight="1">
      <c r="D19" s="10"/>
      <c r="E19" s="10"/>
      <c r="F19" s="10"/>
      <c r="G19" s="10"/>
      <c r="H19" s="10"/>
    </row>
  </sheetData>
  <mergeCells count="19"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  <mergeCell ref="G17:G18"/>
    <mergeCell ref="B9:H9"/>
    <mergeCell ref="B6:H6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22" zoomScaleNormal="100" workbookViewId="0">
      <selection activeCell="F30" sqref="F3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8" t="s">
        <v>12</v>
      </c>
      <c r="B1" s="135"/>
      <c r="C1" s="135"/>
      <c r="D1" s="135"/>
      <c r="E1" s="135"/>
      <c r="F1" s="135"/>
      <c r="G1" s="135"/>
      <c r="H1" s="135"/>
    </row>
    <row r="2" spans="1:8" ht="22.5" customHeight="1">
      <c r="A2" s="146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35"/>
      <c r="C2" s="135"/>
      <c r="D2" s="135"/>
      <c r="E2" s="135"/>
      <c r="F2" s="135"/>
      <c r="G2" s="135"/>
      <c r="H2" s="135"/>
    </row>
    <row r="3" spans="1:8" ht="18.75" customHeight="1"/>
    <row r="4" spans="1:8" ht="15" customHeight="1">
      <c r="A4" s="11" t="s">
        <v>13</v>
      </c>
    </row>
    <row r="5" spans="1:8" ht="16.5" customHeight="1">
      <c r="A5" s="141" t="s">
        <v>5</v>
      </c>
      <c r="B5" s="147">
        <f>"전년동기 대비 ("&amp;(YEAR(인덱스!$K$1)-1)&amp;"년 1~"&amp;MONTH(인덱스!$K$1)&amp;"월)"</f>
      </c>
      <c r="C5" s="144"/>
      <c r="D5" s="144"/>
      <c r="E5" s="145"/>
      <c r="F5" s="143" t="s">
        <v>15</v>
      </c>
      <c r="G5" s="144"/>
      <c r="H5" s="145"/>
    </row>
    <row r="6" spans="1:8" ht="18" customHeight="1">
      <c r="A6" s="127"/>
      <c r="B6" s="12">
        <f>"당기(1~"&amp;MONTH(인덱스!$K$1)&amp;"월)"</f>
      </c>
      <c r="C6" s="13">
        <f>"전년동기(1~"&amp;MONTH(인덱스!$K$1)&amp;"월)"</f>
      </c>
      <c r="D6" s="14" t="s">
        <v>18</v>
      </c>
      <c r="E6" s="15" t="s">
        <v>19</v>
      </c>
      <c r="F6" s="16" t="s">
        <v>20</v>
      </c>
      <c r="G6" s="14" t="s">
        <v>18</v>
      </c>
      <c r="H6" s="15" t="s">
        <v>19</v>
      </c>
    </row>
    <row r="7" spans="1:8" ht="16.5" customHeight="1">
      <c r="A7" s="17" t="s">
        <v>21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22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23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24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25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26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27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28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29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30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31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32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33</v>
      </c>
    </row>
    <row r="21" spans="1:8" ht="30" customHeight="1">
      <c r="A21" s="39" t="s">
        <v>5</v>
      </c>
      <c r="B21" s="40" t="s">
        <v>34</v>
      </c>
      <c r="C21" s="41" t="s">
        <v>35</v>
      </c>
      <c r="D21" s="42" t="s">
        <v>18</v>
      </c>
      <c r="E21" s="41" t="s">
        <v>19</v>
      </c>
    </row>
    <row r="22" spans="1:8" ht="16.5" customHeight="1">
      <c r="A22" s="43" t="s">
        <v>36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37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38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39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40</v>
      </c>
    </row>
    <row r="28" spans="1:8" ht="30" customHeight="1">
      <c r="A28" s="1" t="s">
        <v>41</v>
      </c>
      <c r="B28" s="42" t="s">
        <v>21</v>
      </c>
      <c r="C28" s="41" t="s">
        <v>25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IF(1&lt;=MONTH(인덱스!$K$1),INDEX(기간별손익계산서!$C:$N,2,1),"")</f>
        <v>2735381647</v>
      </c>
      <c r="C29" s="54">
        <f>IF(1&lt;=MONTH(인덱스!$K$1),INDEX(기간별손익계산서!$C:$N,30,1),"")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IF(2&lt;=MONTH(인덱스!$K$1),INDEX(기간별손익계산서!$C:$N,2,2),"")</f>
        <v>2447781972</v>
      </c>
      <c r="C30" s="56">
        <f>IF(2&lt;=MONTH(인덱스!$K$1),INDEX(기간별손익계산서!$C:$N,30,2),"")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IF(3&lt;=MONTH(인덱스!$K$1),INDEX(기간별손익계산서!$C:$N,2,3),"")</f>
        <v>4328182055</v>
      </c>
      <c r="C31" s="56">
        <f>IF(3&lt;=MONTH(인덱스!$K$1),INDEX(기간별손익계산서!$C:$N,30,3),"")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IF(4&lt;=MONTH(인덱스!$K$1),INDEX(기간별손익계산서!$C:$N,2,4),"")</f>
        <v>4152427518</v>
      </c>
      <c r="C32" s="56">
        <f>IF(4&lt;=MONTH(인덱스!$K$1),INDEX(기간별손익계산서!$C:$N,30,4),"")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IF(5&lt;=MONTH(인덱스!$K$1),INDEX(기간별손익계산서!$C:$N,2,5),"")</f>
        <v>2755697515</v>
      </c>
      <c r="C33" s="56">
        <f>IF(5&lt;=MONTH(인덱스!$K$1),INDEX(기간별손익계산서!$C:$N,30,5),"")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IF(6&lt;=MONTH(인덱스!$K$1),INDEX(기간별손익계산서!$C:$N,2,6),"")</f>
        <v>2793851873</v>
      </c>
      <c r="C34" s="56">
        <f>IF(6&lt;=MONTH(인덱스!$K$1),INDEX(기간별손익계산서!$C:$N,30,6),"")</f>
        <v>151504066</v>
      </c>
    </row>
    <row r="35" spans="1:3" ht="15" hidden="1" customHeight="1">
      <c r="A35" s="55" t="str">
        <f>IFERROR(MONTH(DATE(YEAR(인덱스!$K$1),7,1))&amp;"월","")</f>
        <v>7월</v>
      </c>
      <c r="B35" s="22">
        <f>IF(7&lt;=MONTH(인덱스!$K$1),INDEX(기간별손익계산서!$C:$N,2,7),"")</f>
        <v>2306642756</v>
      </c>
      <c r="C35" s="56">
        <f>IF(7&lt;=MONTH(인덱스!$K$1),INDEX(기간별손익계산서!$C:$N,30,7),"")</f>
        <v>166909868</v>
      </c>
    </row>
    <row r="36" spans="1:3" ht="15" hidden="1" customHeight="1">
      <c r="A36" s="55" t="str">
        <f>IFERROR(MONTH(DATE(YEAR(인덱스!$K$1),8,1))&amp;"월","")</f>
        <v>8월</v>
      </c>
      <c r="B36" s="22" t="str">
        <f>IF(8&lt;=MONTH(인덱스!$K$1),INDEX(기간별손익계산서!$C:$N,2,8),"")</f>
        <v/>
      </c>
      <c r="C36" s="56" t="str">
        <f>IF(8&lt;=MONTH(인덱스!$K$1),INDEX(기간별손익계산서!$C:$N,30,8),"")</f>
        <v/>
      </c>
    </row>
    <row r="37" spans="1:3" ht="15" hidden="1" customHeight="1">
      <c r="A37" s="55" t="str">
        <f>IFERROR(MONTH(DATE(YEAR(인덱스!$K$1),9,1))&amp;"월","")</f>
        <v>9월</v>
      </c>
      <c r="B37" s="22" t="str">
        <f>IF(9&lt;=MONTH(인덱스!$K$1),INDEX(기간별손익계산서!$C:$N,2,9),"")</f>
        <v/>
      </c>
      <c r="C37" s="56" t="str">
        <f>IF(9&lt;=MONTH(인덱스!$K$1),INDEX(기간별손익계산서!$C:$N,30,9),"")</f>
        <v/>
      </c>
    </row>
    <row r="38" spans="1:3" ht="15" hidden="1" customHeight="1">
      <c r="A38" s="55" t="str">
        <f>IFERROR(MONTH(DATE(YEAR(인덱스!$K$1),10,1))&amp;"월","")</f>
        <v>10월</v>
      </c>
      <c r="B38" s="22" t="str">
        <f>IF(10&lt;=MONTH(인덱스!$K$1),INDEX(기간별손익계산서!$C:$N,2,10),"")</f>
        <v/>
      </c>
      <c r="C38" s="56" t="str">
        <f>IF(10&lt;=MONTH(인덱스!$K$1),INDEX(기간별손익계산서!$C:$N,30,10),"")</f>
        <v/>
      </c>
    </row>
    <row r="39" spans="1:3" ht="15" hidden="1" customHeight="1">
      <c r="A39" s="55" t="str">
        <f>IFERROR(MONTH(DATE(YEAR(인덱스!$K$1),11,1))&amp;"월","")</f>
        <v>11월</v>
      </c>
      <c r="B39" s="22" t="str">
        <f>IF(11&lt;=MONTH(인덱스!$K$1),INDEX(기간별손익계산서!$C:$N,2,11),"")</f>
        <v/>
      </c>
      <c r="C39" s="56" t="str">
        <f>IF(11&lt;=MONTH(인덱스!$K$1),INDEX(기간별손익계산서!$C:$N,30,11),"")</f>
        <v/>
      </c>
    </row>
    <row r="40" spans="1:3" ht="15" hidden="1" customHeight="1">
      <c r="A40" s="55" t="str">
        <f>IFERROR(MONTH(DATE(YEAR(인덱스!$K$1),12,1))&amp;"월","")</f>
        <v>12월</v>
      </c>
      <c r="B40" s="22" t="str">
        <f>IF(12&lt;=MONTH(인덱스!$K$1),INDEX(기간별손익계산서!$C:$N,2,12),"")</f>
        <v/>
      </c>
      <c r="C40" s="56" t="str">
        <f>IF(12&lt;=MONTH(인덱스!$K$1),INDEX(기간별손익계산서!$C:$N,30,12),"")</f>
        <v/>
      </c>
    </row>
    <row r="41" spans="1:3" ht="16.5" customHeight="1">
      <c r="A41" s="57" t="s">
        <v>42</v>
      </c>
      <c r="B41" s="58">
        <f>SUM(B29:B40)</f>
        <v>21519965336</v>
      </c>
      <c r="C41" s="59">
        <f>SUM(C29:C40)</f>
        <v>1708056234</v>
      </c>
    </row>
    <row r="67" spans="1:8" ht="3.75" customHeight="1"/>
    <row r="68" spans="1:8" ht="27.75" customHeight="1"/>
    <row r="69" spans="1:8" ht="60" customHeight="1">
      <c r="A69" s="142" t="s">
        <v>43</v>
      </c>
      <c r="B69" s="135"/>
      <c r="C69" s="135"/>
      <c r="D69" s="135"/>
      <c r="E69" s="135"/>
      <c r="F69" s="135"/>
      <c r="G69" s="135"/>
      <c r="H69" s="135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44</v>
      </c>
      <c r="B1" s="135"/>
      <c r="C1" s="135"/>
      <c r="D1" s="135"/>
      <c r="E1" s="135"/>
      <c r="F1" s="135"/>
      <c r="G1" s="135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35"/>
      <c r="C3" s="135"/>
      <c r="D3" s="135"/>
      <c r="E3" s="135"/>
      <c r="F3" s="135"/>
      <c r="G3" s="135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35"/>
      <c r="C4" s="135"/>
      <c r="D4" s="135"/>
      <c r="E4" s="135"/>
      <c r="F4" s="135"/>
      <c r="G4" s="135"/>
      <c r="H4" s="5"/>
    </row>
    <row r="5" spans="1:11" ht="12.75" customHeight="1"/>
    <row r="6" spans="1:11" ht="11.25" customHeight="1">
      <c r="A6" s="63" t="s">
        <v>45</v>
      </c>
      <c r="G6" s="64" t="s">
        <v>46</v>
      </c>
    </row>
    <row r="7" spans="1:11" ht="18.75" customHeight="1">
      <c r="A7" s="150" t="s">
        <v>47</v>
      </c>
      <c r="B7" s="150" t="s">
        <v>48</v>
      </c>
      <c r="C7" s="132"/>
      <c r="D7" s="150" t="s">
        <v>49</v>
      </c>
      <c r="E7" s="150" t="s">
        <v>50</v>
      </c>
      <c r="F7" s="132"/>
      <c r="G7" s="150" t="s">
        <v>51</v>
      </c>
      <c r="J7" s="66" t="s">
        <v>52</v>
      </c>
      <c r="K7" s="66" t="s">
        <v>19</v>
      </c>
    </row>
    <row r="8" spans="1:11" ht="18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7.25" customHeight="1">
      <c r="A9" s="67" t="s">
        <v>55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56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57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58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59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60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61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62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63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64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63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65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66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67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68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69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70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71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72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73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74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75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76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77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78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79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80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81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82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83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84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85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86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87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88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87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89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87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90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87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91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92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93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63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94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95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96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97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98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99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100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101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102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103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104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105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106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107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108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109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110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111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112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113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114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115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116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117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118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119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120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121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122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123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124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125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126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127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128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129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130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horizontalDpi="300" verticalDpi="300"/>
  <headerFooter>
    <oddFooter>&amp;C&amp;P/2</oddFooter>
  </headerFooter>
  <rowBreaks count="1" manualBreakCount="1">
    <brk id="61" max="16383" man="1"/>
  </row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G61" sqref="G61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131</v>
      </c>
      <c r="B1" s="135"/>
      <c r="C1" s="135"/>
      <c r="D1" s="135"/>
      <c r="E1" s="135"/>
      <c r="F1" s="135"/>
      <c r="G1" s="135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45</v>
      </c>
      <c r="G6" s="64" t="s">
        <v>46</v>
      </c>
    </row>
    <row r="7" spans="1:11" ht="15.75" customHeight="1">
      <c r="A7" s="150" t="s">
        <v>47</v>
      </c>
      <c r="B7" s="150" t="s">
        <v>48</v>
      </c>
      <c r="C7" s="132"/>
      <c r="D7" s="154" t="s">
        <v>132</v>
      </c>
      <c r="E7" s="150" t="s">
        <v>50</v>
      </c>
      <c r="F7" s="132"/>
      <c r="G7" s="154" t="s">
        <v>132</v>
      </c>
      <c r="J7" s="66" t="s">
        <v>52</v>
      </c>
      <c r="K7" s="66" t="s">
        <v>133</v>
      </c>
    </row>
    <row r="8" spans="1:11" ht="15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6.5" customHeight="1">
      <c r="A9" s="74" t="s">
        <v>134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135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136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137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138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139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140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141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142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143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144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145</v>
      </c>
    </row>
    <row r="20" spans="1:16" ht="16.5" customHeight="1">
      <c r="A20" s="67" t="s">
        <v>146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147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148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149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150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151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152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153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154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155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156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157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158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159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160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161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162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163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164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165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166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167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168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169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170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171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172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173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174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175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176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177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178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179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180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181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182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183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184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185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186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187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horizontalDpi="300" verticalDpi="300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abSelected="1" topLeftCell="A37" zoomScaleNormal="100" workbookViewId="0">
      <selection activeCell="L36" sqref="L36:L37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56"/>
      <c r="M3" s="153"/>
    </row>
    <row r="5" spans="1:17" ht="11.25" customHeight="1">
      <c r="A5" s="63" t="s">
        <v>45</v>
      </c>
      <c r="M5" s="103" t="s">
        <v>46</v>
      </c>
    </row>
    <row r="6" spans="1:17" ht="35.25" customHeight="1">
      <c r="A6" s="65" t="s">
        <v>47</v>
      </c>
      <c r="B6" s="65" t="s">
        <v>188</v>
      </c>
      <c r="C6" s="65" t="s">
        <v>189</v>
      </c>
      <c r="D6" s="65" t="s">
        <v>190</v>
      </c>
      <c r="E6" s="65" t="s">
        <v>191</v>
      </c>
      <c r="F6" s="65" t="s">
        <v>192</v>
      </c>
      <c r="G6" s="65" t="s">
        <v>193</v>
      </c>
      <c r="H6" s="65" t="s">
        <v>194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195</v>
      </c>
      <c r="L6" s="104" t="s">
        <v>196</v>
      </c>
      <c r="M6" s="65" t="s">
        <v>49</v>
      </c>
      <c r="P6" s="66" t="s">
        <v>52</v>
      </c>
      <c r="Q6" s="66" t="s">
        <v>19</v>
      </c>
    </row>
    <row r="7" spans="1:17" ht="22.5" customHeight="1">
      <c r="A7" s="105" t="s">
        <v>134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135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136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137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138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139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140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141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142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143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>IF(J16-I16&gt;0,"증가",IF(J16-I16=0,"변동없음","감소"))</f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144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>IF(J17-I17&gt;0,"증가",IF(J17-I17=0,"변동없음","감소"))</f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146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>IF(J18-I18&gt;0,"증가",IF(J18-I18=0,"변동없음","감소"))</f>
      </c>
      <c r="M18" s="114" t="s">
        <v>197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147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>
        <f>IF(J19-I19&gt;0,"증가",IF(J19-I19=0,"변동없음","감소"))</f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149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>
        <f>IF(J20-I20&gt;0,"증가",IF(J20-I20=0,"변동없음","감소"))</f>
      </c>
      <c r="M20" s="114" t="s">
        <v>199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150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>
        <f>IF(J21-I21&gt;0,"증가",IF(J21-I21=0,"변동없음","감소"))</f>
      </c>
      <c r="M21" s="115" t="s">
        <v>200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151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>
        <f>IF(J22-I22&gt;0,"증가",IF(J22-I22=0,"변동없음","감소"))</f>
      </c>
      <c r="M22" s="115" t="s">
        <v>201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152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>
        <f>IF(J23-I23&gt;0,"증가",IF(J23-I23=0,"변동없음","감소"))</f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153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>
        <f>IF(J24-I24&gt;0,"증가",IF(J24-I24=0,"변동없음","감소"))</f>
      </c>
      <c r="M24" s="115" t="s">
        <v>202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154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>
        <f>IF(J25-I25&gt;0,"증가",IF(J25-I25=0,"변동없음","감소"))</f>
      </c>
      <c r="M25" s="115" t="s">
        <v>203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155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>
        <f>IF(J26-I26&gt;0,"증가",IF(J26-I26=0,"변동없음","감소"))</f>
      </c>
      <c r="M26" s="115" t="s">
        <v>204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156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>
        <f>IF(J27-I27&gt;0,"증가",IF(J27-I27=0,"변동없음","감소"))</f>
      </c>
      <c r="M27" s="115" t="s">
        <v>205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157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>IF(J28-I28&gt;0,"증가",IF(J28-I28=0,"변동없음","감소"))</f>
      </c>
      <c r="M28" s="115" t="s">
        <v>206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158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>
        <f>IF(J29-I29&gt;0,"증가",IF(J29-I29=0,"변동없음","감소"))</f>
      </c>
      <c r="M29" s="115" t="s">
        <v>207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159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>IF(J30-I30&gt;0,"증가",IF(J30-I30=0,"변동없음","감소"))</f>
      </c>
      <c r="M30" s="115" t="s">
        <v>208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160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>IF(J31-I31&gt;0,"증가",IF(J31-I31=0,"변동없음","감소"))</f>
      </c>
      <c r="M31" s="115" t="s">
        <v>209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161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>IF(J32-I32&gt;0,"증가",IF(J32-I32=0,"변동없음","감소"))</f>
      </c>
      <c r="M32" s="115" t="s">
        <v>210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162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>
        <f>IF(J33-I33&gt;0,"증가",IF(J33-I33=0,"변동없음","감소"))</f>
      </c>
      <c r="M33" s="115" t="s">
        <v>211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163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>IF(J34-I34&gt;0,"증가",IF(J34-I34=0,"변동없음","감소"))</f>
      </c>
      <c r="M34" s="115" t="s">
        <v>212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164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>IF(J35-I35&gt;0,"증가",IF(J35-I35=0,"변동없음","감소"))</f>
      </c>
      <c r="M35" s="114" t="s">
        <v>213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165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>
        <f>IF(J36-I36&gt;0,"증가",IF(J36-I36=0,"변동없음","감소"))</f>
      </c>
      <c r="M36" s="115" t="s">
        <v>214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166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>
        <f>IF(J37-I37&gt;0,"증가",IF(J37-I37=0,"변동없음","감소"))</f>
      </c>
      <c r="M37" s="115" t="s">
        <v>215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167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>IF(J38-I38&gt;0,"증가",IF(J38-I38=0,"변동없음","감소"))</f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168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>IF(J39-I39&gt;0,"증가",IF(J39-I39=0,"변동없음","감소"))</f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169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>IF(J40-I40&gt;0,"증가",IF(J40-I40=0,"변동없음","감소"))</f>
      </c>
      <c r="M40" s="115" t="s">
        <v>216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170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>
        <f>IF(J41-I41&gt;0,"증가",IF(J41-I41=0,"변동없음","감소"))</f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172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>
        <f>IF(J42-I42&gt;0,"증가",IF(J42-I42=0,"변동없음","감소"))</f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173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>
        <f>IF(J43-I43&gt;0,"증가",IF(J43-I43=0,"변동없음","감소"))</f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175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>IF(J44-I44&gt;0,"증가",IF(J44-I44=0,"변동없음","감소"))</f>
      </c>
      <c r="M44" s="116" t="s">
        <v>217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176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>IF(J45-I45&gt;0,"증가",IF(J45-I45=0,"변동없음","감소"))</f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177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>
        <f>IF(J46-I46&gt;0,"증가",IF(J46-I46=0,"변동없음","감소"))</f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178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>
        <f>IF(J47-I47&gt;0,"증가",IF(J47-I47=0,"변동없음","감소"))</f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181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>
        <f>IF(J48-I48&gt;0,"증가",IF(J48-I48=0,"변동없음","감소"))</f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182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>IF(J49-I49&gt;0,"증가",IF(J49-I49=0,"변동없음","감소"))</f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183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>
        <f>IF(J50-I50&gt;0,"증가",IF(J50-I50=0,"변동없음","감소"))</f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184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>IF(J51-I51&gt;0,"증가",IF(J51-I51=0,"변동없음","감소"))</f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185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>
        <f>IF(J52-I52&gt;0,"증가",IF(J52-I52=0,"변동없음","감소"))</f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186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>
        <f>IF(J53-I53&gt;0,"증가",IF(J53-I53=0,"변동없음","감소"))</f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187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>IF(J54-I54&gt;0,"증가",IF(J54-I54=0,"변동없음","감소"))</f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horizontalDpi="300" verticalDpi="300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1"/>
      <c r="B2" s="157" t="s">
        <v>53</v>
      </c>
      <c r="C2" s="158"/>
      <c r="D2" s="157" t="s">
        <v>54</v>
      </c>
      <c r="E2" s="158"/>
    </row>
    <row r="3" spans="1:7" ht="12" customHeight="1">
      <c r="A3" s="119" t="s">
        <v>55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56</v>
      </c>
      <c r="B4" s="120"/>
      <c r="C4" s="120" t="s">
        <v>218</v>
      </c>
      <c r="D4" s="120"/>
      <c r="E4" s="120" t="s">
        <v>219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57</v>
      </c>
      <c r="B5" s="120"/>
      <c r="C5" s="120" t="s">
        <v>220</v>
      </c>
      <c r="D5" s="120"/>
      <c r="E5" s="120" t="s">
        <v>221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58</v>
      </c>
      <c r="B6" s="120"/>
      <c r="C6" s="120" t="s">
        <v>222</v>
      </c>
      <c r="D6" s="120"/>
      <c r="E6" s="120" t="s">
        <v>223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59</v>
      </c>
      <c r="B7" s="120"/>
      <c r="C7" s="120" t="s">
        <v>224</v>
      </c>
      <c r="D7" s="120"/>
      <c r="E7" s="120" t="s">
        <v>225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60</v>
      </c>
      <c r="B8" s="120"/>
      <c r="C8" s="120" t="s">
        <v>226</v>
      </c>
      <c r="D8" s="120"/>
      <c r="E8" s="120" t="s">
        <v>227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61</v>
      </c>
      <c r="B9" s="120"/>
      <c r="C9" s="120" t="s">
        <v>228</v>
      </c>
      <c r="D9" s="120"/>
      <c r="E9" s="120" t="s">
        <v>229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62</v>
      </c>
      <c r="B10" s="120" t="s">
        <v>230</v>
      </c>
      <c r="C10" s="120"/>
      <c r="D10" s="120" t="s">
        <v>231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63</v>
      </c>
      <c r="B11" s="120" t="s">
        <v>232</v>
      </c>
      <c r="C11" s="120" t="s">
        <v>233</v>
      </c>
      <c r="D11" s="120" t="s">
        <v>232</v>
      </c>
      <c r="E11" s="120" t="s">
        <v>234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64</v>
      </c>
      <c r="B12" s="120" t="s">
        <v>235</v>
      </c>
      <c r="C12" s="120"/>
      <c r="D12" s="120" t="s">
        <v>236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63</v>
      </c>
      <c r="B13" s="120" t="s">
        <v>237</v>
      </c>
      <c r="C13" s="120" t="s">
        <v>238</v>
      </c>
      <c r="D13" s="120" t="s">
        <v>237</v>
      </c>
      <c r="E13" s="120" t="s">
        <v>239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66</v>
      </c>
      <c r="B14" s="120"/>
      <c r="C14" s="120" t="s">
        <v>240</v>
      </c>
      <c r="D14" s="120"/>
      <c r="E14" s="120" t="s">
        <v>240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68</v>
      </c>
      <c r="B15" s="120"/>
      <c r="C15" s="120" t="s">
        <v>241</v>
      </c>
      <c r="D15" s="120"/>
      <c r="E15" s="120" t="s">
        <v>242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70</v>
      </c>
      <c r="B16" s="120"/>
      <c r="C16" s="120" t="s">
        <v>243</v>
      </c>
      <c r="D16" s="120"/>
      <c r="E16" s="120" t="s">
        <v>244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72</v>
      </c>
      <c r="B17" s="120"/>
      <c r="C17" s="120" t="s">
        <v>245</v>
      </c>
      <c r="D17" s="120"/>
      <c r="E17" s="120" t="s">
        <v>246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74</v>
      </c>
      <c r="B18" s="120"/>
      <c r="C18" s="120" t="s">
        <v>247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76</v>
      </c>
      <c r="B19" s="120"/>
      <c r="C19" s="120" t="s">
        <v>248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77</v>
      </c>
      <c r="B20" s="120"/>
      <c r="C20" s="120" t="s">
        <v>249</v>
      </c>
      <c r="D20" s="120"/>
      <c r="E20" s="120" t="s">
        <v>250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79</v>
      </c>
      <c r="B21" s="120"/>
      <c r="C21" s="120" t="s">
        <v>251</v>
      </c>
      <c r="D21" s="120"/>
      <c r="E21" s="120" t="s">
        <v>252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80</v>
      </c>
      <c r="B22" s="120"/>
      <c r="C22" s="120" t="s">
        <v>251</v>
      </c>
      <c r="D22" s="120"/>
      <c r="E22" s="120" t="s">
        <v>252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81</v>
      </c>
      <c r="B23" s="120"/>
      <c r="C23" s="120" t="s">
        <v>253</v>
      </c>
      <c r="D23" s="120"/>
      <c r="E23" s="120" t="s">
        <v>254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82</v>
      </c>
      <c r="B24" s="120"/>
      <c r="C24" s="120" t="s">
        <v>255</v>
      </c>
      <c r="D24" s="120"/>
      <c r="E24" s="120" t="s">
        <v>255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83</v>
      </c>
      <c r="B25" s="120"/>
      <c r="C25" s="120" t="s">
        <v>255</v>
      </c>
      <c r="D25" s="120"/>
      <c r="E25" s="120" t="s">
        <v>255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84</v>
      </c>
      <c r="B26" s="120"/>
      <c r="C26" s="120" t="s">
        <v>256</v>
      </c>
      <c r="D26" s="120"/>
      <c r="E26" s="120" t="s">
        <v>257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85</v>
      </c>
      <c r="B27" s="120"/>
      <c r="C27" s="120" t="s">
        <v>258</v>
      </c>
      <c r="D27" s="120"/>
      <c r="E27" s="120" t="s">
        <v>258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86</v>
      </c>
      <c r="B28" s="120" t="s">
        <v>259</v>
      </c>
      <c r="C28" s="120"/>
      <c r="D28" s="120" t="s">
        <v>259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87</v>
      </c>
      <c r="B29" s="120" t="s">
        <v>260</v>
      </c>
      <c r="C29" s="120" t="s">
        <v>261</v>
      </c>
      <c r="D29" s="120" t="s">
        <v>262</v>
      </c>
      <c r="E29" s="120" t="s">
        <v>263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88</v>
      </c>
      <c r="B30" s="120" t="s">
        <v>264</v>
      </c>
      <c r="C30" s="120"/>
      <c r="D30" s="120" t="s">
        <v>264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87</v>
      </c>
      <c r="B31" s="120" t="s">
        <v>265</v>
      </c>
      <c r="C31" s="120" t="s">
        <v>266</v>
      </c>
      <c r="D31" s="120" t="s">
        <v>265</v>
      </c>
      <c r="E31" s="120" t="s">
        <v>266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89</v>
      </c>
      <c r="B32" s="120" t="s">
        <v>267</v>
      </c>
      <c r="C32" s="120"/>
      <c r="D32" s="120" t="s">
        <v>268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87</v>
      </c>
      <c r="B33" s="120" t="s">
        <v>269</v>
      </c>
      <c r="C33" s="120" t="s">
        <v>270</v>
      </c>
      <c r="D33" s="120" t="s">
        <v>271</v>
      </c>
      <c r="E33" s="120" t="s">
        <v>272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90</v>
      </c>
      <c r="B34" s="120" t="s">
        <v>273</v>
      </c>
      <c r="C34" s="120"/>
      <c r="D34" s="120" t="s">
        <v>273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87</v>
      </c>
      <c r="B35" s="120" t="s">
        <v>274</v>
      </c>
      <c r="C35" s="120" t="s">
        <v>275</v>
      </c>
      <c r="D35" s="120" t="s">
        <v>276</v>
      </c>
      <c r="E35" s="120" t="s">
        <v>277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91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92</v>
      </c>
      <c r="B37" s="120"/>
      <c r="C37" s="120" t="s">
        <v>278</v>
      </c>
      <c r="D37" s="120"/>
      <c r="E37" s="120" t="s">
        <v>278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94</v>
      </c>
      <c r="B38" s="120"/>
      <c r="C38" s="120" t="s">
        <v>279</v>
      </c>
      <c r="D38" s="120"/>
      <c r="E38" s="120" t="s">
        <v>279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96</v>
      </c>
      <c r="B39" s="120"/>
      <c r="C39" s="120" t="s">
        <v>280</v>
      </c>
      <c r="D39" s="120"/>
      <c r="E39" s="120" t="s">
        <v>280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98</v>
      </c>
      <c r="B40" s="120"/>
      <c r="C40" s="120" t="s">
        <v>281</v>
      </c>
      <c r="D40" s="120"/>
      <c r="E40" s="120" t="s">
        <v>281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99</v>
      </c>
      <c r="B41" s="120"/>
      <c r="C41" s="120" t="s">
        <v>282</v>
      </c>
      <c r="D41" s="120"/>
      <c r="E41" s="120" t="s">
        <v>283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100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101</v>
      </c>
      <c r="B43" s="120"/>
      <c r="C43" s="120" t="s">
        <v>284</v>
      </c>
      <c r="D43" s="120"/>
      <c r="E43" s="120" t="s">
        <v>285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102</v>
      </c>
      <c r="B44" s="120"/>
      <c r="C44" s="120" t="s">
        <v>286</v>
      </c>
      <c r="D44" s="120"/>
      <c r="E44" s="120" t="s">
        <v>287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103</v>
      </c>
      <c r="B45" s="120"/>
      <c r="C45" s="120" t="s">
        <v>288</v>
      </c>
      <c r="D45" s="120"/>
      <c r="E45" s="120" t="s">
        <v>289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104</v>
      </c>
      <c r="B46" s="120"/>
      <c r="C46" s="120" t="s">
        <v>290</v>
      </c>
      <c r="D46" s="120"/>
      <c r="E46" s="120" t="s">
        <v>291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106</v>
      </c>
      <c r="B47" s="120"/>
      <c r="C47" s="120" t="s">
        <v>292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107</v>
      </c>
      <c r="B48" s="120"/>
      <c r="C48" s="120" t="s">
        <v>293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109</v>
      </c>
      <c r="B49" s="120"/>
      <c r="C49" s="120" t="s">
        <v>294</v>
      </c>
      <c r="D49" s="120"/>
      <c r="E49" s="120" t="s">
        <v>294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110</v>
      </c>
      <c r="B50" s="120"/>
      <c r="C50" s="120"/>
      <c r="D50" s="120"/>
      <c r="E50" s="120" t="s">
        <v>295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111</v>
      </c>
      <c r="B51" s="120"/>
      <c r="C51" s="120" t="s">
        <v>296</v>
      </c>
      <c r="D51" s="120"/>
      <c r="E51" s="120" t="s">
        <v>297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114</v>
      </c>
      <c r="B52" s="120"/>
      <c r="C52" s="120" t="s">
        <v>298</v>
      </c>
      <c r="D52" s="120"/>
      <c r="E52" s="120" t="s">
        <v>299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115</v>
      </c>
      <c r="B53" s="120"/>
      <c r="C53" s="120"/>
      <c r="D53" s="120"/>
      <c r="E53" s="120" t="s">
        <v>300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116</v>
      </c>
      <c r="B54" s="120"/>
      <c r="C54" s="120" t="s">
        <v>298</v>
      </c>
      <c r="D54" s="120"/>
      <c r="E54" s="120" t="s">
        <v>298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117</v>
      </c>
      <c r="B55" s="120"/>
      <c r="C55" s="120" t="s">
        <v>301</v>
      </c>
      <c r="D55" s="120"/>
      <c r="E55" s="120" t="s">
        <v>302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118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119</v>
      </c>
      <c r="B57" s="120"/>
      <c r="C57" s="120" t="s">
        <v>303</v>
      </c>
      <c r="D57" s="120"/>
      <c r="E57" s="120" t="s">
        <v>303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120</v>
      </c>
      <c r="B58" s="120"/>
      <c r="C58" s="120" t="s">
        <v>303</v>
      </c>
      <c r="D58" s="120"/>
      <c r="E58" s="120" t="s">
        <v>303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121</v>
      </c>
      <c r="B59" s="120"/>
      <c r="C59" s="120" t="s">
        <v>304</v>
      </c>
      <c r="D59" s="120"/>
      <c r="E59" s="120" t="s">
        <v>304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122</v>
      </c>
      <c r="B60" s="120"/>
      <c r="C60" s="120" t="s">
        <v>304</v>
      </c>
      <c r="D60" s="120"/>
      <c r="E60" s="120" t="s">
        <v>304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123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124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125</v>
      </c>
      <c r="B63" s="120"/>
      <c r="C63" s="120" t="s">
        <v>305</v>
      </c>
      <c r="D63" s="120"/>
      <c r="E63" s="120" t="s">
        <v>306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126</v>
      </c>
      <c r="B64" s="120"/>
      <c r="C64" s="120" t="s">
        <v>307</v>
      </c>
      <c r="D64" s="120"/>
      <c r="E64" s="120" t="s">
        <v>308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127</v>
      </c>
      <c r="B65" s="120"/>
      <c r="C65" s="120" t="s">
        <v>309</v>
      </c>
      <c r="D65" s="120"/>
      <c r="E65" s="120" t="s">
        <v>310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128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311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312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129</v>
      </c>
      <c r="B69" s="120"/>
      <c r="C69" s="120" t="s">
        <v>313</v>
      </c>
      <c r="D69" s="120"/>
      <c r="E69" s="120" t="s">
        <v>314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130</v>
      </c>
      <c r="B70" s="120"/>
      <c r="C70" s="120" t="s">
        <v>282</v>
      </c>
      <c r="D70" s="120"/>
      <c r="E70" s="120" t="s">
        <v>283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</row>
    <row r="2" spans="1:17" ht="13.5" customHeight="1">
      <c r="A2" s="121" t="s">
        <v>134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>
        <v>2306642756</v>
      </c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135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>
        <v>2306642756</v>
      </c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136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>
        <v>0</v>
      </c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137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>
        <v>1849254182</v>
      </c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138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>
        <v>1849254182</v>
      </c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139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>
        <v>2999324483</v>
      </c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140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>
        <v>1731716093</v>
      </c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141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>
        <v>18170958</v>
      </c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142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>
        <v>2863615436</v>
      </c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143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>
        <v>457388574</v>
      </c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144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>
        <v>290478706</v>
      </c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146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>
        <v>168626792</v>
      </c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149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>
        <v>0</v>
      </c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150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>
        <v>18127455</v>
      </c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151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>
        <v>636400</v>
      </c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152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>
        <v>5192422</v>
      </c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153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>
        <v>1509882</v>
      </c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154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>
        <v>46640</v>
      </c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155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>
        <v>1251761</v>
      </c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156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>
        <v>9505300</v>
      </c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157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>
        <v>11662649</v>
      </c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>
        <v>13500000</v>
      </c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159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>
        <v>3231430</v>
      </c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160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>
        <v>25875037</v>
      </c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161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>
        <v>1038336</v>
      </c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163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>
        <v>5562265</v>
      </c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164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>
        <v>24712337</v>
      </c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166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>
        <v>0</v>
      </c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167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>
        <v>166909868</v>
      </c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168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>
        <v>8088561</v>
      </c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169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>
        <v>4637774</v>
      </c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170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>
        <v>0</v>
      </c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315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>
        <v>0</v>
      </c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175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>
        <v>3450787</v>
      </c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176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>
        <v>1930</v>
      </c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178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>
        <v>0</v>
      </c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181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>
        <v>0</v>
      </c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182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>
        <v>1930</v>
      </c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184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>
        <v>174996499</v>
      </c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185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>
        <v>0</v>
      </c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187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>
        <v>174996499</v>
      </c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  <c r="I1" s="123" t="s">
        <v>316</v>
      </c>
      <c r="J1" s="123" t="s">
        <v>317</v>
      </c>
      <c r="K1" s="123" t="s">
        <v>318</v>
      </c>
      <c r="L1" s="123" t="s">
        <v>319</v>
      </c>
      <c r="M1" s="123" t="s">
        <v>320</v>
      </c>
      <c r="N1" s="123" t="s">
        <v>321</v>
      </c>
    </row>
    <row r="2" spans="1:16" ht="13.5" customHeight="1">
      <c r="A2" s="121" t="s">
        <v>134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135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136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137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138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139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140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141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142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143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144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146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149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150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151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152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153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154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155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156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157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159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160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161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163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164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166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167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168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169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315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175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176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178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182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183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184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185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187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2"/>
      <c r="B2" s="159" t="s">
        <v>53</v>
      </c>
      <c r="C2" s="160"/>
      <c r="D2" s="159" t="s">
        <v>54</v>
      </c>
      <c r="E2" s="160"/>
    </row>
    <row r="3" spans="1:7" ht="13.5" customHeight="1">
      <c r="A3" s="121" t="s">
        <v>134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135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136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137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138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139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140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141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142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143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144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146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147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148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149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150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151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152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153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154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155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156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157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158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159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160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161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163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164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165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166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167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168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169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170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315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175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176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178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179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181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182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184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185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186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187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2026-08-07T06:27:55Z</cp:lastPrinted>
  <dcterms:created xsi:type="dcterms:W3CDTF">2022-09-29T02:43:59Z</dcterms:created>
  <dcterms:modified xsi:type="dcterms:W3CDTF">2026-09-02T05:00:26Z</dcterms:modified>
  <dc:language>en-US</dc:language>
</cp:coreProperties>
</file>