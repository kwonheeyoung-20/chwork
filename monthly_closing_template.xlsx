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1230" windowWidth="14715" windowHeight="14250" tabRatio="500" firstSheet="0" activeTab="0" autoFilterDateGrouping="1"/>
  </bookViews>
  <sheets>
    <sheet xmlns:r="http://schemas.openxmlformats.org/officeDocument/2006/relationships" name="인덱스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재무상태표(내역)" sheetId="3" state="visible" r:id="rId3"/>
    <sheet xmlns:r="http://schemas.openxmlformats.org/officeDocument/2006/relationships" name="매출액대비 비율분석" sheetId="4" state="visible" r:id="rId4"/>
    <sheet xmlns:r="http://schemas.openxmlformats.org/officeDocument/2006/relationships" name="전월대비증감" sheetId="5" state="visible" r:id="rId5"/>
    <sheet xmlns:r="http://schemas.openxmlformats.org/officeDocument/2006/relationships" name="재무상태표" sheetId="6" state="visible" r:id="rId6"/>
    <sheet xmlns:r="http://schemas.openxmlformats.org/officeDocument/2006/relationships" name="기간별손익계산서" sheetId="7" state="visible" r:id="rId7"/>
    <sheet xmlns:r="http://schemas.openxmlformats.org/officeDocument/2006/relationships" name="기간별손익계산서(전년동기)" sheetId="8" state="visible" r:id="rId8"/>
    <sheet xmlns:r="http://schemas.openxmlformats.org/officeDocument/2006/relationships" name="손익계산서" sheetId="9" state="visible" r:id="rId9"/>
  </sheets>
  <definedNames>
    <definedName name="_xlnm.Print_Area" localSheetId="0">'인덱스'!$A$1:$H$19</definedName>
    <definedName name="_xlnm.Print_Titles" localSheetId="2">'재무상태표(내역)'!$1:$8</definedName>
    <definedName name="_xlnm.Print_Area" localSheetId="2">'재무상태표(내역)'!$A$1:$K$80</definedName>
    <definedName name="_xlnm.Print_Area" localSheetId="3">'매출액대비 비율분석'!$A$1:$K$62</definedName>
    <definedName name="_xlnm.Print_Area" localSheetId="4">'전월대비증감'!$A$1:$Q$56</definedName>
    <definedName name="_xlnm.Print_Area" localSheetId="5">'재무상태표'!$A$1:$E$74</definedName>
    <definedName name="_xlnm.Print_Area" localSheetId="6">'기간별손익계산서'!$A$1:$G$48</definedName>
    <definedName name="_xlnm.Print_Area" localSheetId="8">'손익계산서'!$A$1:$E$55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#,##0,;\(#,##0,\);\-"/>
    <numFmt numFmtId="166" formatCode="\+0.0%;\-0.0%;0.0%"/>
    <numFmt numFmtId="167" formatCode="#,##0_);[Red]\(#,##0\)"/>
    <numFmt numFmtId="168" formatCode="###,##0"/>
    <numFmt numFmtId="169" formatCode="0.0%"/>
  </numFmts>
  <fonts count="42">
    <font>
      <name val="굴림체"/>
      <charset val="129"/>
      <family val="3"/>
      <color rgb="FF000000"/>
      <sz val="9"/>
    </font>
    <font>
      <name val="굴림체"/>
      <charset val="129"/>
      <family val="3"/>
      <b val="1"/>
      <color rgb="FFFFFFFF"/>
      <sz val="18"/>
    </font>
    <font>
      <name val="Noto Sans CJK SC"/>
      <charset val="1"/>
      <b val="1"/>
      <sz val="11"/>
    </font>
    <font>
      <name val="Noto Sans CJK SC"/>
      <charset val="1"/>
      <color rgb="FF0000FF"/>
      <sz val="12"/>
    </font>
    <font>
      <name val="Noto Sans CJK SC"/>
      <charset val="1"/>
      <i val="1"/>
      <color rgb="FF808080"/>
      <sz val="9"/>
    </font>
    <font>
      <name val="굴림체"/>
      <charset val="129"/>
      <family val="3"/>
      <b val="1"/>
      <color rgb="FFFFFFFF"/>
      <sz val="14"/>
    </font>
    <font>
      <name val="굴림체"/>
      <charset val="129"/>
      <family val="3"/>
      <b val="1"/>
      <color rgb="FF1F4E78"/>
      <sz val="12"/>
    </font>
    <font>
      <name val="Noto Sans CJK SC"/>
      <charset val="1"/>
      <b val="1"/>
      <color rgb="FF1F4E78"/>
      <sz val="12"/>
    </font>
    <font>
      <name val="굴림체"/>
      <charset val="129"/>
      <family val="3"/>
      <color rgb="FF000000"/>
      <sz val="12"/>
    </font>
    <font>
      <name val="Noto Sans CJK SC"/>
      <charset val="129"/>
      <family val="3"/>
      <sz val="11"/>
    </font>
    <font>
      <name val="Noto Sans CJK SC"/>
      <charset val="1"/>
      <sz val="11"/>
    </font>
    <font>
      <name val="Noto Sans CJK SC"/>
      <family val="2"/>
      <color rgb="FF000000"/>
      <sz val="9"/>
    </font>
    <font>
      <name val="Noto Sans CJK SC"/>
      <family val="2"/>
      <b val="1"/>
      <sz val="11"/>
    </font>
    <font>
      <name val="Noto Sans CJK SC"/>
      <charset val="1"/>
      <b val="1"/>
      <color rgb="FFFFFFFF"/>
      <sz val="16"/>
    </font>
    <font>
      <name val="Noto Sans CJK SC"/>
      <charset val="1"/>
      <color rgb="FF595959"/>
      <sz val="10"/>
    </font>
    <font>
      <name val="Noto Sans CJK SC"/>
      <charset val="1"/>
      <b val="1"/>
      <color rgb="FF1F4E78"/>
      <sz val="11"/>
    </font>
    <font>
      <name val="Noto Sans CJK SC"/>
      <charset val="129"/>
      <family val="3"/>
      <b val="1"/>
      <color rgb="FFFFFFFF"/>
      <sz val="11"/>
    </font>
    <font>
      <name val="Noto Sans CJK SC"/>
      <charset val="1"/>
      <b val="1"/>
      <color rgb="FFFFFFFF"/>
      <sz val="11"/>
    </font>
    <font>
      <name val="Noto Sans CJK SC"/>
      <charset val="129"/>
      <family val="3"/>
      <b val="1"/>
      <color rgb="FF1F4E78"/>
      <sz val="11"/>
    </font>
    <font>
      <name val="Noto Sans CJK SC"/>
      <charset val="1"/>
      <color rgb="FF595959"/>
      <sz val="11"/>
    </font>
    <font>
      <name val="Noto Sans CJK SC"/>
      <charset val="1"/>
      <i val="1"/>
      <color rgb="FF595959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rgb="FF595959"/>
      <sz val="10"/>
    </font>
    <font>
      <name val="Noto Sans CJK SC"/>
      <charset val="1"/>
      <b val="1"/>
      <color rgb="FFFFFFFF"/>
      <sz val="13"/>
    </font>
    <font>
      <name val="굴림체"/>
      <charset val="129"/>
      <family val="3"/>
      <b val="1"/>
      <color rgb="FF000000"/>
      <sz val="14"/>
    </font>
    <font>
      <name val="굴림체"/>
      <charset val="129"/>
      <family val="3"/>
      <color rgb="FF000000"/>
      <sz val="14"/>
    </font>
    <font>
      <name val="Noto Sans CJK SC"/>
      <charset val="1"/>
      <b val="1"/>
      <sz val="9"/>
    </font>
    <font>
      <name val="Noto Sans CJK SC"/>
      <charset val="1"/>
      <b val="1"/>
      <color rgb="FF1F4E78"/>
      <sz val="9"/>
    </font>
    <font>
      <name val="Noto Sans CJK SC"/>
      <charset val="1"/>
      <family val="2"/>
      <color rgb="FF000000"/>
      <sz val="9"/>
    </font>
    <font>
      <name val="Noto Sans CJK SC"/>
      <charset val="1"/>
      <b val="1"/>
      <sz val="10"/>
    </font>
    <font>
      <name val="Noto Sans CJK SC"/>
      <charset val="1"/>
      <family val="2"/>
      <color rgb="FF333333"/>
      <sz val="9"/>
    </font>
    <font>
      <name val="굴림체"/>
      <charset val="129"/>
      <family val="3"/>
      <color rgb="FF333333"/>
      <sz val="9"/>
    </font>
    <font>
      <name val="굴림체"/>
      <charset val="129"/>
      <family val="3"/>
      <b val="1"/>
      <sz val="9"/>
    </font>
    <font>
      <name val="Noto Sans CJK SC"/>
      <family val="2"/>
      <color rgb="FF333333"/>
      <sz val="9"/>
    </font>
    <font>
      <name val="Noto Sans CJK SC"/>
      <charset val="129"/>
      <family val="3"/>
      <color rgb="FF333333"/>
      <sz val="9"/>
    </font>
    <font>
      <name val="굴림체"/>
      <charset val="129"/>
      <family val="3"/>
      <color rgb="FFFF0000"/>
      <sz val="9"/>
    </font>
    <font>
      <name val="굴림체"/>
      <charset val="129"/>
      <family val="3"/>
      <sz val="9"/>
    </font>
    <font>
      <name val="Noto Sans CJK SC"/>
      <charset val="129"/>
      <family val="3"/>
      <b val="1"/>
      <color rgb="FF1F4E78"/>
      <sz val="9"/>
    </font>
    <font>
      <name val="Noto Sans CJK SC"/>
      <charset val="129"/>
      <family val="3"/>
      <color rgb="FF000000"/>
      <sz val="9"/>
    </font>
    <font>
      <name val="Noto Sans CJK SC"/>
      <charset val="1"/>
      <family val="2"/>
      <sz val="9"/>
    </font>
    <font>
      <name val="굴림체"/>
      <charset val="129"/>
      <family val="3"/>
      <color rgb="FF000000"/>
      <sz val="9"/>
    </font>
    <font>
      <name val="굴림체"/>
      <charset val="129"/>
      <family val="3"/>
      <sz val="8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D9E2F3"/>
        <bgColor rgb="FFDCE6F1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9E2F3"/>
      </patternFill>
    </fill>
    <fill>
      <patternFill patternType="solid">
        <fgColor rgb="FFFFFFFF"/>
        <bgColor rgb="FFF2F2F2"/>
      </patternFill>
    </fill>
  </fills>
  <borders count="4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auto="1"/>
      </right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333333"/>
      </left>
      <right style="thin">
        <color rgb="FF333333"/>
      </right>
      <top/>
      <bottom style="thin">
        <color auto="1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auto="1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/>
      <bottom/>
      <diagonal/>
    </border>
    <border>
      <left style="thin">
        <color rgb="FF333333"/>
      </left>
      <right style="thin">
        <color rgb="FF333333"/>
      </right>
      <top/>
      <bottom/>
      <diagonal/>
    </border>
  </borders>
  <cellStyleXfs count="2">
    <xf numFmtId="0" fontId="40" fillId="0" borderId="0"/>
    <xf numFmtId="0" fontId="40" fillId="0" borderId="0"/>
  </cellStyleXfs>
  <cellXfs count="204">
    <xf numFmtId="0" fontId="0" fillId="0" borderId="0" pivotButton="0" quotePrefix="0" xfId="0"/>
    <xf numFmtId="0" fontId="15" fillId="5" borderId="4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0" pivotButton="0" quotePrefix="0" xfId="0"/>
    <xf numFmtId="0" fontId="18" fillId="5" borderId="5" applyAlignment="1" pivotButton="0" quotePrefix="0" xfId="0">
      <alignment horizontal="center" vertical="center" wrapText="1"/>
    </xf>
    <xf numFmtId="0" fontId="18" fillId="5" borderId="6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 wrapText="1"/>
    </xf>
    <xf numFmtId="0" fontId="15" fillId="5" borderId="5" applyAlignment="1" pivotButton="0" quotePrefix="0" xfId="0">
      <alignment horizontal="center" vertical="center" wrapText="1"/>
    </xf>
    <xf numFmtId="0" fontId="2" fillId="7" borderId="8" pivotButton="0" quotePrefix="0" xfId="0"/>
    <xf numFmtId="165" fontId="2" fillId="7" borderId="9" pivotButton="0" quotePrefix="0" xfId="0"/>
    <xf numFmtId="165" fontId="2" fillId="7" borderId="10" pivotButton="0" quotePrefix="0" xfId="0"/>
    <xf numFmtId="166" fontId="2" fillId="7" borderId="11" pivotButton="0" quotePrefix="0" xfId="0"/>
    <xf numFmtId="0" fontId="10" fillId="0" borderId="12" pivotButton="0" quotePrefix="0" xfId="0"/>
    <xf numFmtId="165" fontId="10" fillId="0" borderId="13" pivotButton="0" quotePrefix="0" xfId="0"/>
    <xf numFmtId="165" fontId="10" fillId="0" borderId="1" pivotButton="0" quotePrefix="0" xfId="0"/>
    <xf numFmtId="166" fontId="10" fillId="0" borderId="14" pivotButton="0" quotePrefix="0" xfId="0"/>
    <xf numFmtId="0" fontId="2" fillId="7" borderId="12" pivotButton="0" quotePrefix="0" xfId="0"/>
    <xf numFmtId="165" fontId="2" fillId="7" borderId="13" pivotButton="0" quotePrefix="0" xfId="0"/>
    <xf numFmtId="165" fontId="2" fillId="7" borderId="1" pivotButton="0" quotePrefix="0" xfId="0"/>
    <xf numFmtId="166" fontId="2" fillId="7" borderId="14" pivotButton="0" quotePrefix="0" xfId="0"/>
    <xf numFmtId="0" fontId="19" fillId="0" borderId="12" pivotButton="0" quotePrefix="0" xfId="0"/>
    <xf numFmtId="166" fontId="20" fillId="0" borderId="13" pivotButton="0" quotePrefix="0" xfId="0"/>
    <xf numFmtId="166" fontId="20" fillId="0" borderId="1" pivotButton="0" quotePrefix="0" xfId="0"/>
    <xf numFmtId="0" fontId="20" fillId="0" borderId="1" pivotButton="0" quotePrefix="0" xfId="0"/>
    <xf numFmtId="0" fontId="20" fillId="0" borderId="14" pivotButton="0" quotePrefix="0" xfId="0"/>
    <xf numFmtId="0" fontId="19" fillId="0" borderId="15" pivotButton="0" quotePrefix="0" xfId="0"/>
    <xf numFmtId="166" fontId="20" fillId="0" borderId="5" pivotButton="0" quotePrefix="0" xfId="0"/>
    <xf numFmtId="166" fontId="20" fillId="0" borderId="6" pivotButton="0" quotePrefix="0" xfId="0"/>
    <xf numFmtId="0" fontId="20" fillId="0" borderId="6" pivotButton="0" quotePrefix="0" xfId="0"/>
    <xf numFmtId="0" fontId="20" fillId="0" borderId="7" pivotButton="0" quotePrefix="0" xfId="0"/>
    <xf numFmtId="0" fontId="15" fillId="5" borderId="16" applyAlignment="1" pivotButton="0" quotePrefix="0" xfId="0">
      <alignment horizontal="center" vertical="center" wrapText="1"/>
    </xf>
    <xf numFmtId="0" fontId="15" fillId="5" borderId="17" applyAlignment="1" pivotButton="0" quotePrefix="0" xfId="0">
      <alignment horizontal="center" vertical="center" wrapText="1"/>
    </xf>
    <xf numFmtId="0" fontId="15" fillId="5" borderId="18" applyAlignment="1" pivotButton="0" quotePrefix="0" xfId="0">
      <alignment horizontal="center" vertical="center" wrapText="1"/>
    </xf>
    <xf numFmtId="0" fontId="15" fillId="5" borderId="19" applyAlignment="1" pivotButton="0" quotePrefix="0" xfId="0">
      <alignment horizontal="center" vertical="center" wrapText="1"/>
    </xf>
    <xf numFmtId="0" fontId="2" fillId="7" borderId="20" pivotButton="0" quotePrefix="0" xfId="0"/>
    <xf numFmtId="165" fontId="2" fillId="7" borderId="11" pivotButton="0" quotePrefix="0" xfId="0"/>
    <xf numFmtId="165" fontId="2" fillId="7" borderId="21" pivotButton="0" quotePrefix="0" xfId="0"/>
    <xf numFmtId="0" fontId="2" fillId="7" borderId="22" pivotButton="0" quotePrefix="0" xfId="0"/>
    <xf numFmtId="165" fontId="2" fillId="7" borderId="14" pivotButton="0" quotePrefix="0" xfId="0"/>
    <xf numFmtId="165" fontId="2" fillId="7" borderId="23" pivotButton="0" quotePrefix="0" xfId="0"/>
    <xf numFmtId="0" fontId="19" fillId="0" borderId="24" applyAlignment="1" pivotButton="0" quotePrefix="0" xfId="0">
      <alignment horizontal="left"/>
    </xf>
    <xf numFmtId="166" fontId="20" fillId="0" borderId="7" pivotButton="0" quotePrefix="0" xfId="0"/>
    <xf numFmtId="0" fontId="20" fillId="0" borderId="25" pivotButton="0" quotePrefix="0" xfId="0"/>
    <xf numFmtId="0" fontId="10" fillId="0" borderId="8" applyAlignment="1" pivotButton="0" quotePrefix="0" xfId="0">
      <alignment horizontal="center"/>
    </xf>
    <xf numFmtId="165" fontId="10" fillId="0" borderId="9" pivotButton="0" quotePrefix="0" xfId="0"/>
    <xf numFmtId="165" fontId="10" fillId="0" borderId="11" pivotButton="0" quotePrefix="0" xfId="0"/>
    <xf numFmtId="0" fontId="10" fillId="0" borderId="12" applyAlignment="1" pivotButton="0" quotePrefix="0" xfId="0">
      <alignment horizontal="center"/>
    </xf>
    <xf numFmtId="165" fontId="10" fillId="0" borderId="14" pivotButton="0" quotePrefix="0" xfId="0"/>
    <xf numFmtId="0" fontId="21" fillId="7" borderId="26" applyAlignment="1" pivotButton="0" quotePrefix="0" xfId="0">
      <alignment horizontal="center"/>
    </xf>
    <xf numFmtId="165" fontId="2" fillId="7" borderId="27" pivotButton="0" quotePrefix="0" xfId="0"/>
    <xf numFmtId="165" fontId="2" fillId="7" borderId="28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pivotButton="0" quotePrefix="0" xfId="0"/>
    <xf numFmtId="0" fontId="28" fillId="0" borderId="0" pivotButton="0" quotePrefix="0" xfId="0"/>
    <xf numFmtId="0" fontId="28" fillId="0" borderId="0" applyAlignment="1" pivotButton="0" quotePrefix="0" xfId="0">
      <alignment horizontal="right"/>
    </xf>
    <xf numFmtId="49" fontId="27" fillId="5" borderId="1" applyAlignment="1" pivotButton="0" quotePrefix="0" xfId="0">
      <alignment horizontal="center" vertical="center"/>
    </xf>
    <xf numFmtId="0" fontId="29" fillId="9" borderId="0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right" vertical="center" wrapText="1"/>
    </xf>
    <xf numFmtId="167" fontId="31" fillId="0" borderId="1" applyAlignment="1" pivotButton="0" quotePrefix="0" xfId="0">
      <alignment horizontal="right" vertical="center" wrapText="1"/>
    </xf>
    <xf numFmtId="0" fontId="28" fillId="0" borderId="1" pivotButton="0" quotePrefix="0" xfId="0"/>
    <xf numFmtId="0" fontId="28" fillId="0" borderId="1" applyAlignment="1" pivotButton="0" quotePrefix="0" xfId="0">
      <alignment horizontal="center" vertical="center"/>
    </xf>
    <xf numFmtId="166" fontId="0" fillId="0" borderId="1" pivotButton="0" quotePrefix="0" xfId="0"/>
    <xf numFmtId="0" fontId="32" fillId="7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right" vertical="center"/>
    </xf>
    <xf numFmtId="3" fontId="31" fillId="7" borderId="1" applyAlignment="1" pivotButton="0" quotePrefix="0" xfId="0">
      <alignment horizontal="right" vertical="center"/>
    </xf>
    <xf numFmtId="0" fontId="31" fillId="7" borderId="1" applyAlignment="1" pivotButton="0" quotePrefix="0" xfId="0">
      <alignment horizontal="right" vertical="center" wrapText="1"/>
    </xf>
    <xf numFmtId="167" fontId="31" fillId="7" borderId="1" applyAlignment="1" pivotButton="0" quotePrefix="0" xfId="0">
      <alignment horizontal="right" vertical="center" wrapText="1"/>
    </xf>
    <xf numFmtId="0" fontId="0" fillId="7" borderId="1" pivotButton="0" quotePrefix="0" xfId="0"/>
    <xf numFmtId="0" fontId="28" fillId="7" borderId="1" applyAlignment="1" pivotButton="0" quotePrefix="0" xfId="0">
      <alignment horizontal="center" vertical="center"/>
    </xf>
    <xf numFmtId="166" fontId="0" fillId="7" borderId="1" pivotButton="0" quotePrefix="0" xfId="0"/>
    <xf numFmtId="0" fontId="31" fillId="0" borderId="1" applyAlignment="1" pivotButton="0" quotePrefix="0" xfId="0">
      <alignment horizontal="left" vertical="center"/>
    </xf>
    <xf numFmtId="3" fontId="31" fillId="0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168" fontId="31" fillId="7" borderId="1" applyAlignment="1" pivotButton="0" quotePrefix="0" xfId="0">
      <alignment horizontal="right" vertical="center" wrapText="1"/>
    </xf>
    <xf numFmtId="10" fontId="31" fillId="7" borderId="1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center" vertical="center"/>
    </xf>
    <xf numFmtId="166" fontId="0" fillId="0" borderId="0" pivotButton="0" quotePrefix="0" xfId="0"/>
    <xf numFmtId="168" fontId="31" fillId="0" borderId="1" applyAlignment="1" pivotButton="0" quotePrefix="0" xfId="0">
      <alignment horizontal="right" vertical="center" wrapText="1"/>
    </xf>
    <xf numFmtId="10" fontId="31" fillId="0" borderId="1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center"/>
    </xf>
    <xf numFmtId="169" fontId="35" fillId="0" borderId="0" pivotButton="0" quotePrefix="0" xfId="0"/>
    <xf numFmtId="169" fontId="0" fillId="0" borderId="0" pivotButton="0" quotePrefix="0" xfId="0"/>
    <xf numFmtId="169" fontId="36" fillId="0" borderId="0" pivotButton="0" quotePrefix="0" xfId="0"/>
    <xf numFmtId="0" fontId="34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right" vertical="center"/>
    </xf>
    <xf numFmtId="49" fontId="37" fillId="5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vertical="center"/>
    </xf>
    <xf numFmtId="0" fontId="3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/>
    </xf>
    <xf numFmtId="0" fontId="30" fillId="0" borderId="1" applyAlignment="1" pivotButton="0" quotePrefix="0" xfId="0">
      <alignment vertical="center"/>
    </xf>
    <xf numFmtId="0" fontId="3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8" fontId="30" fillId="0" borderId="1" applyAlignment="1" pivotButton="0" quotePrefix="0" xfId="0">
      <alignment horizontal="right" vertical="center" wrapText="1"/>
    </xf>
    <xf numFmtId="168" fontId="30" fillId="7" borderId="1" applyAlignment="1" pivotButton="0" quotePrefix="0" xfId="0">
      <alignment horizontal="right" vertical="center" wrapText="1"/>
    </xf>
    <xf numFmtId="0" fontId="30" fillId="0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vertical="center"/>
    </xf>
    <xf numFmtId="0" fontId="28" fillId="0" borderId="1" applyAlignment="1" pivotButton="0" quotePrefix="0" xfId="0">
      <alignment vertical="center"/>
    </xf>
    <xf numFmtId="0" fontId="28" fillId="0" borderId="1" applyAlignment="1" pivotButton="0" quotePrefix="0" xfId="0">
      <alignment vertical="center" wrapText="1"/>
    </xf>
    <xf numFmtId="168" fontId="0" fillId="0" borderId="0" pivotButton="0" quotePrefix="0" xfId="0"/>
    <xf numFmtId="49" fontId="39" fillId="10" borderId="30" applyAlignment="1" pivotButton="0" quotePrefix="0" xfId="0">
      <alignment horizontal="center" vertical="center"/>
    </xf>
    <xf numFmtId="0" fontId="30" fillId="0" borderId="4" applyAlignment="1" pivotButton="0" quotePrefix="0" xfId="0">
      <alignment horizontal="left" vertical="center"/>
    </xf>
    <xf numFmtId="0" fontId="31" fillId="0" borderId="4" applyAlignment="1" pivotButton="0" quotePrefix="0" xfId="0">
      <alignment horizontal="right" vertical="center"/>
    </xf>
    <xf numFmtId="0" fontId="31" fillId="0" borderId="4" applyAlignment="1" pivotButton="0" quotePrefix="0" xfId="0">
      <alignment horizontal="left" vertical="center"/>
    </xf>
    <xf numFmtId="0" fontId="33" fillId="0" borderId="4" applyAlignment="1" pivotButton="0" quotePrefix="0" xfId="0">
      <alignment horizontal="left" vertical="center"/>
    </xf>
    <xf numFmtId="49" fontId="36" fillId="10" borderId="30" applyAlignment="1" pivotButton="0" quotePrefix="0" xfId="0">
      <alignment horizontal="center" vertical="center"/>
    </xf>
    <xf numFmtId="168" fontId="31" fillId="0" borderId="4" applyAlignment="1" pivotButton="0" quotePrefix="0" xfId="0">
      <alignment horizontal="right" vertical="center" wrapText="1"/>
    </xf>
    <xf numFmtId="168" fontId="31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3" pivotButton="0" quotePrefix="0" xfId="0"/>
    <xf numFmtId="0" fontId="0" fillId="0" borderId="2" pivotButton="0" quotePrefix="0" xfId="0"/>
    <xf numFmtId="0" fontId="0" fillId="0" borderId="31" pivotButton="0" quotePrefix="0" xfId="0"/>
    <xf numFmtId="0" fontId="12" fillId="5" borderId="4" applyAlignment="1" pivotButton="0" quotePrefix="0" xfId="0">
      <alignment horizontal="center" vertical="center"/>
    </xf>
    <xf numFmtId="0" fontId="0" fillId="0" borderId="26" pivotButton="0" quotePrefix="0" xfId="0"/>
    <xf numFmtId="0" fontId="10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1" fillId="5" borderId="2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top" wrapText="1"/>
    </xf>
    <xf numFmtId="0" fontId="17" fillId="2" borderId="2" applyAlignment="1" pivotButton="0" quotePrefix="0" xfId="0">
      <alignment horizontal="center"/>
    </xf>
    <xf numFmtId="0" fontId="0" fillId="0" borderId="3" pivotButton="0" quotePrefix="0" xfId="0"/>
    <xf numFmtId="0" fontId="0" fillId="0" borderId="33" pivotButton="0" quotePrefix="0" xfId="0"/>
    <xf numFmtId="0" fontId="14" fillId="0" borderId="0" applyAlignment="1" pivotButton="0" quotePrefix="0" xfId="0">
      <alignment horizontal="center"/>
    </xf>
    <xf numFmtId="0" fontId="16" fillId="4" borderId="2" applyAlignment="1" pivotButton="0" quotePrefix="0" xfId="0">
      <alignment horizontal="center"/>
    </xf>
    <xf numFmtId="0" fontId="23" fillId="2" borderId="0" applyAlignment="1" pivotButton="0" quotePrefix="0" xfId="0">
      <alignment horizontal="center" vertical="center"/>
    </xf>
    <xf numFmtId="49" fontId="27" fillId="5" borderId="1" applyAlignment="1" pivotButton="0" quotePrefix="0" xfId="0">
      <alignment horizontal="center" vertical="center"/>
    </xf>
    <xf numFmtId="0" fontId="27" fillId="8" borderId="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0" applyAlignment="1" pivotButton="0" quotePrefix="0" xfId="0">
      <alignment vertical="center"/>
    </xf>
    <xf numFmtId="49" fontId="27" fillId="5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39" fillId="10" borderId="29" applyAlignment="1" pivotButton="0" quotePrefix="0" xfId="0">
      <alignment horizontal="center" vertical="center"/>
    </xf>
    <xf numFmtId="0" fontId="0" fillId="0" borderId="37" pivotButton="0" quotePrefix="0" xfId="0"/>
    <xf numFmtId="49" fontId="39" fillId="10" borderId="3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5" pivotButton="0" quotePrefix="0" xfId="0"/>
    <xf numFmtId="0" fontId="0" fillId="0" borderId="38" pivotButton="0" quotePrefix="0" xfId="0"/>
    <xf numFmtId="164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2" fillId="7" borderId="9" pivotButton="0" quotePrefix="0" xfId="0"/>
    <xf numFmtId="165" fontId="2" fillId="7" borderId="10" pivotButton="0" quotePrefix="0" xfId="0"/>
    <xf numFmtId="166" fontId="2" fillId="7" borderId="11" pivotButton="0" quotePrefix="0" xfId="0"/>
    <xf numFmtId="165" fontId="10" fillId="0" borderId="13" pivotButton="0" quotePrefix="0" xfId="0"/>
    <xf numFmtId="165" fontId="10" fillId="0" borderId="1" pivotButton="0" quotePrefix="0" xfId="0"/>
    <xf numFmtId="166" fontId="10" fillId="0" borderId="14" pivotButton="0" quotePrefix="0" xfId="0"/>
    <xf numFmtId="165" fontId="2" fillId="7" borderId="13" pivotButton="0" quotePrefix="0" xfId="0"/>
    <xf numFmtId="165" fontId="2" fillId="7" borderId="1" pivotButton="0" quotePrefix="0" xfId="0"/>
    <xf numFmtId="166" fontId="2" fillId="7" borderId="14" pivotButton="0" quotePrefix="0" xfId="0"/>
    <xf numFmtId="166" fontId="20" fillId="0" borderId="13" pivotButton="0" quotePrefix="0" xfId="0"/>
    <xf numFmtId="166" fontId="20" fillId="0" borderId="1" pivotButton="0" quotePrefix="0" xfId="0"/>
    <xf numFmtId="166" fontId="20" fillId="0" borderId="5" pivotButton="0" quotePrefix="0" xfId="0"/>
    <xf numFmtId="166" fontId="20" fillId="0" borderId="6" pivotButton="0" quotePrefix="0" xfId="0"/>
    <xf numFmtId="165" fontId="2" fillId="7" borderId="11" pivotButton="0" quotePrefix="0" xfId="0"/>
    <xf numFmtId="165" fontId="2" fillId="7" borderId="21" pivotButton="0" quotePrefix="0" xfId="0"/>
    <xf numFmtId="165" fontId="2" fillId="7" borderId="14" pivotButton="0" quotePrefix="0" xfId="0"/>
    <xf numFmtId="165" fontId="2" fillId="7" borderId="23" pivotButton="0" quotePrefix="0" xfId="0"/>
    <xf numFmtId="166" fontId="20" fillId="0" borderId="7" pivotButton="0" quotePrefix="0" xfId="0"/>
    <xf numFmtId="165" fontId="10" fillId="0" borderId="9" pivotButton="0" quotePrefix="0" xfId="0"/>
    <xf numFmtId="165" fontId="10" fillId="0" borderId="11" pivotButton="0" quotePrefix="0" xfId="0"/>
    <xf numFmtId="165" fontId="10" fillId="0" borderId="14" pivotButton="0" quotePrefix="0" xfId="0"/>
    <xf numFmtId="165" fontId="2" fillId="7" borderId="27" pivotButton="0" quotePrefix="0" xfId="0"/>
    <xf numFmtId="165" fontId="2" fillId="7" borderId="28" pivotButton="0" quotePrefix="0" xfId="0"/>
    <xf numFmtId="167" fontId="31" fillId="0" borderId="1" applyAlignment="1" pivotButton="0" quotePrefix="0" xfId="0">
      <alignment horizontal="right" vertical="center" wrapText="1"/>
    </xf>
    <xf numFmtId="166" fontId="0" fillId="0" borderId="1" pivotButton="0" quotePrefix="0" xfId="0"/>
    <xf numFmtId="167" fontId="31" fillId="7" borderId="1" applyAlignment="1" pivotButton="0" quotePrefix="0" xfId="0">
      <alignment horizontal="right" vertical="center" wrapText="1"/>
    </xf>
    <xf numFmtId="166" fontId="0" fillId="7" borderId="1" pivotButton="0" quotePrefix="0" xfId="0"/>
    <xf numFmtId="168" fontId="31" fillId="7" borderId="1" applyAlignment="1" pivotButton="0" quotePrefix="0" xfId="0">
      <alignment horizontal="right" vertical="center" wrapText="1"/>
    </xf>
    <xf numFmtId="166" fontId="0" fillId="0" borderId="0" pivotButton="0" quotePrefix="0" xfId="0"/>
    <xf numFmtId="168" fontId="31" fillId="0" borderId="1" applyAlignment="1" pivotButton="0" quotePrefix="0" xfId="0">
      <alignment horizontal="right" vertical="center" wrapText="1"/>
    </xf>
    <xf numFmtId="169" fontId="35" fillId="0" borderId="0" pivotButton="0" quotePrefix="0" xfId="0"/>
    <xf numFmtId="166" fontId="40" fillId="0" borderId="0" pivotButton="0" quotePrefix="0" xfId="0"/>
    <xf numFmtId="169" fontId="0" fillId="0" borderId="0" pivotButton="0" quotePrefix="0" xfId="0"/>
    <xf numFmtId="169" fontId="36" fillId="0" borderId="0" pivotButton="0" quotePrefix="0" xfId="0"/>
    <xf numFmtId="168" fontId="30" fillId="0" borderId="1" applyAlignment="1" pivotButton="0" quotePrefix="0" xfId="0">
      <alignment horizontal="right" vertical="center" wrapText="1"/>
    </xf>
    <xf numFmtId="168" fontId="30" fillId="7" borderId="1" applyAlignment="1" pivotButton="0" quotePrefix="0" xfId="0">
      <alignment horizontal="right" vertical="center" wrapText="1"/>
    </xf>
    <xf numFmtId="168" fontId="0" fillId="0" borderId="0" pivotButton="0" quotePrefix="0" xfId="0"/>
    <xf numFmtId="168" fontId="31" fillId="0" borderId="4" applyAlignment="1" pivotButton="0" quotePrefix="0" xfId="0">
      <alignment horizontal="right" vertical="center" wrapText="1"/>
    </xf>
    <xf numFmtId="168" fontId="31" fillId="0" borderId="0" applyAlignment="1" pivotButton="0" quotePrefix="0" xfId="0">
      <alignment horizontal="right" vertical="center" wrapText="1"/>
    </xf>
  </cellXfs>
  <cellStyles count="2">
    <cellStyle name="표준" xfId="0" builtinId="0"/>
    <cellStyle name="표준 2" xfId="1"/>
  </cellStyles>
  <dxfs count="24">
    <dxf>
      <fill>
        <patternFill>
          <bgColor rgb="FFFFF2CC"/>
        </patternFill>
      </fill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D6"/>
      <rgbColor rgb="FFD9E2F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Arial"/>
                <a:ea typeface="DejaVu Sans"/>
              </a:rPr>
              <a:t xml:space="preserve">월별 매출액 </a:t>
            </a:r>
            <a:r>
              <a:rPr lang="en-US" altLang="ko-KR" sz="1800" b="1" strike="noStrike" spc="-1">
                <a:solidFill>
                  <a:srgbClr val="000000"/>
                </a:solidFill>
                <a:latin typeface="Arial"/>
                <a:ea typeface="DejaVu Sans"/>
              </a:rPr>
              <a:t xml:space="preserve">· </a:t>
            </a:r>
            <a:r>
              <a:rPr lang="ko-KR" altLang="en-US" sz="1800" b="1" strike="noStrike" spc="-1">
                <a:solidFill>
                  <a:srgbClr val="000000"/>
                </a:solidFill>
                <a:latin typeface="Arial"/>
                <a:ea typeface="DejaVu Sans"/>
              </a:rPr>
              <a:t xml:space="preserve">영업이익 추이 </a:t>
            </a:r>
            <a:r>
              <a:rPr lang="en-US" altLang="ko-KR" sz="1800" b="1" strike="noStrike" spc="-1">
                <a:solidFill>
                  <a:srgbClr val="000000"/>
                </a:solidFill>
                <a:latin typeface="Arial"/>
                <a:ea typeface="DejaVu Sans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Arial"/>
                <a:ea typeface="DejaVu Sans"/>
              </a:rPr>
              <a:t>천원</a:t>
            </a:r>
            <a:r>
              <a:rPr lang="en-US" altLang="ko-KR" sz="1800" b="1" strike="noStrike" spc="-1">
                <a:solidFill>
                  <a:srgbClr val="000000"/>
                </a:solidFill>
                <a:latin typeface="Arial"/>
                <a:ea typeface="DejaVu Sans"/>
              </a:rPr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요약!$B$28</f>
              <strCache>
                <ptCount val="1"/>
                <pt idx="0">
                  <v>매출액</v>
                </pt>
              </strCache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errBars>
            <errBarType val="both"/>
            <errValType val="stdErr"/>
            <noEndCap val="0"/>
            <spPr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errBars>
          <cat>
            <strRef>
              <f>요약!$A$29:$A$40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요약!$B$29:$B$40</f>
              <numCache>
                <formatCode>#,##0,;\(#,##0,\);\-</formatCode>
                <ptCount val="12"/>
                <pt idx="0">
                  <v>2735381647</v>
                </pt>
                <pt idx="1">
                  <v>2447781972</v>
                </pt>
                <pt idx="2">
                  <v>4328182055</v>
                </pt>
                <pt idx="3">
                  <v>4152427518</v>
                </pt>
                <pt idx="4">
                  <v>2755697515</v>
                </pt>
                <pt idx="5">
                  <v>2793851873</v>
                </pt>
                <pt idx="6">
                  <v>2306642756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0"/>
        <axId val="91902030"/>
        <axId val="44250780"/>
      </barChart>
      <lineChart>
        <grouping val="standard"/>
        <varyColors val="0"/>
        <ser>
          <idx val="1"/>
          <order val="1"/>
          <tx>
            <strRef>
              <f>요약!$C$28</f>
              <strCache>
                <ptCount val="1"/>
                <pt idx="0">
                  <v>영업이익</v>
                </pt>
              </strCache>
            </strRef>
          </tx>
          <spPr>
            <a:ln xmlns:a="http://schemas.openxmlformats.org/drawingml/2006/main" w="2808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t>None</a:t>
                </a:r>
                <a:endParaRPr lang="ko-K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errBars>
            <errDir val="y"/>
            <errBarType val="both"/>
            <errValType val="stdErr"/>
            <noEndCap val="0"/>
            <spPr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errBars>
          <cat>
            <strRef>
              <f>요약!$A$29:$A$40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요약!$C$29:$C$40</f>
              <numCache>
                <formatCode>#,##0,;\(#,##0,\);\-</formatCode>
                <ptCount val="12"/>
                <pt idx="0">
                  <v>201922246</v>
                </pt>
                <pt idx="1">
                  <v>177990712</v>
                </pt>
                <pt idx="2">
                  <v>448657414</v>
                </pt>
                <pt idx="3">
                  <v>316863055</v>
                </pt>
                <pt idx="4">
                  <v>244208873</v>
                </pt>
                <pt idx="5">
                  <v>151504066</v>
                </pt>
                <pt idx="6">
                  <v>166909868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34261576"/>
        <axId val="25049326"/>
      </lineChart>
      <catAx>
        <axId val="9190203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  <a:endParaRPr lang="ko-KR"/>
          </a:p>
        </txPr>
        <crossAx val="44250780"/>
        <crosses val="autoZero"/>
        <auto val="1"/>
        <lblAlgn val="ctr"/>
        <lblOffset val="100"/>
        <noMultiLvlLbl val="0"/>
      </catAx>
      <valAx>
        <axId val="44250780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rPr>
                  <a:t>매출액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rPr>
                  <a:t>천원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rPr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,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  <a:endParaRPr lang="ko-KR"/>
          </a:p>
        </txPr>
        <crossAx val="91902030"/>
        <crosses val="autoZero"/>
        <crossBetween val="between"/>
      </valAx>
      <catAx>
        <axId val="3426157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25049326"/>
        <crosses val="autoZero"/>
        <auto val="1"/>
        <lblAlgn val="ctr"/>
        <lblOffset val="100"/>
        <noMultiLvlLbl val="0"/>
      </catAx>
      <valAx>
        <axId val="25049326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rPr>
                  <a:t>영업이익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rPr>
                  <a:t>천원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Arial"/>
                    <a:ea typeface="DejaVu Sans"/>
                  </a:rPr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,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t>None</a:t>
            </a:r>
            <a:endParaRPr lang="ko-KR"/>
          </a:p>
        </txPr>
        <crossAx val="3426157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D21" authorId="0" shapeId="0">
      <text>
        <t>12월말 이자수익과 상계처리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57240</colOff>
      <row>42</row>
      <rowOff>59040</rowOff>
    </from>
    <to>
      <col>5</col>
      <colOff>741960</colOff>
      <row>65</row>
      <rowOff>23400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FCC00"/>
    <outlinePr summaryBelow="1" summaryRight="1"/>
    <pageSetUpPr fitToPage="1"/>
  </sheetPr>
  <dimension ref="A1:M19"/>
  <sheetViews>
    <sheetView tabSelected="1" topLeftCell="A4" zoomScaleNormal="100" workbookViewId="0">
      <selection activeCell="B10" sqref="B10:H10"/>
    </sheetView>
  </sheetViews>
  <sheetFormatPr baseColWidth="8" defaultColWidth="30.83203125" defaultRowHeight="11.25"/>
  <cols>
    <col width="12.33203125" customWidth="1" style="127" min="1" max="1"/>
    <col width="14" customWidth="1" style="127" min="2" max="8"/>
    <col width="17.33203125" customWidth="1" style="127" min="9" max="9"/>
    <col width="18.5" customWidth="1" style="127" min="10" max="11"/>
  </cols>
  <sheetData>
    <row r="1" ht="36" customHeight="1" s="127">
      <c r="A1" s="126">
        <f>TEXT($K$1,"yyyy")&amp;"년 1월~"&amp;MONTH($K$1)&amp;"월 월차 결산서 [ ㈜ 창현 ]"</f>
        <v/>
      </c>
      <c r="J1" s="2" t="inlineStr">
        <is>
          <t>결산기준일</t>
        </is>
      </c>
      <c r="K1" s="163" t="n">
        <v>46234</v>
      </c>
      <c r="L1" s="4" t="inlineStr">
        <is>
          <t>(이 날짜만 바꾸면 아래 목록 및 재무상태표(내역)/전월대비증감/매출액대비 비율분석 시트의 기간 문구가 자동으로 바뀝니다)</t>
        </is>
      </c>
      <c r="M1" s="153" t="n"/>
    </row>
    <row r="2" ht="5.25" customHeight="1" s="127">
      <c r="K2" s="164" t="n">
        <v>46267</v>
      </c>
    </row>
    <row r="3" ht="18.75" customHeight="1" s="127">
      <c r="A3" s="136" t="inlineStr">
        <is>
          <t>I N D E X</t>
        </is>
      </c>
    </row>
    <row r="4" ht="34.5" customHeight="1" s="127"/>
    <row r="5" ht="40.5" customHeight="1" s="127">
      <c r="A5" s="7" t="inlineStr">
        <is>
          <t>NO</t>
        </is>
      </c>
      <c r="B5" s="128" t="inlineStr">
        <is>
          <t>구분</t>
        </is>
      </c>
      <c r="C5" s="129" t="n"/>
      <c r="D5" s="129" t="n"/>
      <c r="E5" s="129" t="n"/>
      <c r="F5" s="129" t="n"/>
      <c r="G5" s="129" t="n"/>
      <c r="H5" s="130" t="n"/>
    </row>
    <row r="6" ht="43.5" customHeight="1" s="127">
      <c r="A6" s="8" t="n">
        <v>1</v>
      </c>
      <c r="B6" s="140" t="inlineStr">
        <is>
          <t xml:space="preserve">핵심지표 요약 </t>
        </is>
      </c>
      <c r="C6" s="129" t="n"/>
      <c r="D6" s="129" t="n"/>
      <c r="E6" s="129" t="n"/>
      <c r="F6" s="129" t="n"/>
      <c r="G6" s="129" t="n"/>
      <c r="H6" s="130" t="n"/>
    </row>
    <row r="7" ht="43.5" customHeight="1" s="127">
      <c r="A7" s="9" t="n">
        <v>2</v>
      </c>
      <c r="B7" s="135">
        <f>"재무상태표 ["&amp;TEXT($K$1,"yyyy")&amp;"년"&amp;TEXT(MONTH($K$1),"00")&amp;"월"&amp;TEXT(DAY($K$1),"00")&amp;"일"&amp;" 현재]"</f>
        <v/>
      </c>
      <c r="C7" s="129" t="n"/>
      <c r="D7" s="129" t="n"/>
      <c r="E7" s="129" t="n"/>
      <c r="F7" s="129" t="n"/>
      <c r="G7" s="129" t="n"/>
      <c r="H7" s="130" t="n"/>
    </row>
    <row r="8" ht="43.5" customHeight="1" s="127">
      <c r="A8" s="8" t="n">
        <v>3</v>
      </c>
      <c r="B8" s="140">
        <f>"손익계산서(매출액대비 비율분석) ["&amp;TEXT(DATE(YEAR($K$1),1,1),"yyyy")&amp;"년"&amp;TEXT(MONTH(DATE(YEAR($K$1),1,1)),"00")&amp;"월"&amp;TEXT(DAY(DATE(YEAR($K$1),1,1)),"00")&amp;"일"&amp;" 부터 "&amp;TEXT($K$1,"yyyy")&amp;"년"&amp;TEXT(MONTH($K$1),"00")&amp;"월"&amp;TEXT(DAY($K$1),"00")&amp;"일"&amp;" 까지]"</f>
        <v/>
      </c>
      <c r="C8" s="129" t="n"/>
      <c r="D8" s="129" t="n"/>
      <c r="E8" s="129" t="n"/>
      <c r="F8" s="129" t="n"/>
      <c r="G8" s="129" t="n"/>
      <c r="H8" s="130" t="n"/>
    </row>
    <row r="9" ht="43.5" customHeight="1" s="127">
      <c r="A9" s="9" t="n">
        <v>4</v>
      </c>
      <c r="B9" s="135">
        <f>"손익계산서(전월대비 증감) ["&amp;TEXT(EOMONTH($K$1,-2)+1,"yyyy")&amp;"년"&amp;TEXT(MONTH(EOMONTH($K$1,-2)+1),"00")&amp;"월"&amp;TEXT(DAY(EOMONTH($K$1,-2)+1),"00")&amp;"일"&amp;" 부터 "&amp;TEXT($K$1,"yyyy")&amp;"년"&amp;TEXT(MONTH($K$1),"00")&amp;"월"&amp;TEXT(DAY($K$1),"00")&amp;"일"&amp;" 까지]"</f>
        <v/>
      </c>
      <c r="C9" s="129" t="n"/>
      <c r="D9" s="129" t="n"/>
      <c r="E9" s="129" t="n"/>
      <c r="F9" s="129" t="n"/>
      <c r="G9" s="129" t="n"/>
      <c r="H9" s="130" t="n"/>
    </row>
    <row r="10" ht="43.5" customHeight="1" s="127">
      <c r="A10" s="8" t="n">
        <v>5</v>
      </c>
      <c r="B10" s="137">
        <f>"기간별손익계산서 ["&amp;TEXT(DATE(YEAR($K$1),1,1),"yyyy")&amp;"년"&amp;TEXT(MONTH(DATE(YEAR($K$1),1,1)),"00")&amp;"월"&amp;TEXT(DAY(DATE(YEAR($K$1),1,1)),"00")&amp;"일"&amp;" 부터 "&amp;TEXT($K$1,"yyyy")&amp;"년"&amp;TEXT(MONTH($K$1),"00")&amp;"월"&amp;TEXT(DAY($K$1),"00")&amp;"일"&amp;" 까지]"</f>
        <v/>
      </c>
      <c r="C10" s="129" t="n"/>
      <c r="D10" s="129" t="n"/>
      <c r="E10" s="129" t="n"/>
      <c r="F10" s="129" t="n"/>
      <c r="G10" s="129" t="n"/>
      <c r="H10" s="130" t="n"/>
    </row>
    <row r="11" ht="43.5" customHeight="1" s="127">
      <c r="A11" s="9" t="n">
        <v>6</v>
      </c>
      <c r="B11" s="138">
        <f>TEXT($K$1,"yyyy")&amp;"년 차량별 비용현황[연간누계/월별/당월상세]"</f>
        <v/>
      </c>
      <c r="C11" s="129" t="n"/>
      <c r="D11" s="129" t="n"/>
      <c r="E11" s="129" t="n"/>
      <c r="F11" s="129" t="n"/>
      <c r="G11" s="129" t="n"/>
      <c r="H11" s="130" t="n"/>
    </row>
    <row r="12" ht="43.5" customHeight="1" s="127">
      <c r="A12" s="8" t="n">
        <v>7</v>
      </c>
      <c r="B12" s="137">
        <f>TEXT($K$1,"yyyy")&amp;"년 운송비 개인별 비용"</f>
        <v/>
      </c>
      <c r="C12" s="129" t="n"/>
      <c r="D12" s="129" t="n"/>
      <c r="E12" s="129" t="n"/>
      <c r="F12" s="129" t="n"/>
      <c r="G12" s="129" t="n"/>
      <c r="H12" s="130" t="n"/>
    </row>
    <row r="13" ht="18" customHeight="1" s="127"/>
    <row r="14" ht="32.25" customHeight="1" s="127"/>
    <row r="15" ht="9.75" customHeight="1" s="127">
      <c r="D15" s="139" t="inlineStr">
        <is>
          <t>결재</t>
        </is>
      </c>
      <c r="E15" s="133" t="inlineStr">
        <is>
          <t>담당</t>
        </is>
      </c>
      <c r="F15" s="133" t="inlineStr">
        <is>
          <t>이사</t>
        </is>
      </c>
      <c r="G15" s="133" t="inlineStr">
        <is>
          <t>임원</t>
        </is>
      </c>
      <c r="H15" s="133" t="inlineStr">
        <is>
          <t>사장</t>
        </is>
      </c>
    </row>
    <row r="16" ht="27.75" customHeight="1" s="127">
      <c r="D16" s="132" t="n"/>
      <c r="E16" s="134" t="n"/>
      <c r="F16" s="134" t="n"/>
      <c r="G16" s="134" t="n"/>
      <c r="H16" s="134" t="n"/>
    </row>
    <row r="17" ht="21" customHeight="1" s="127">
      <c r="D17" s="132" t="n"/>
      <c r="E17" s="131" t="n"/>
      <c r="F17" s="131" t="n"/>
      <c r="G17" s="131" t="n"/>
      <c r="H17" s="131" t="n"/>
    </row>
    <row r="18" ht="21" customHeight="1" s="127">
      <c r="D18" s="132" t="n"/>
      <c r="E18" s="132" t="n"/>
      <c r="F18" s="132" t="n"/>
      <c r="G18" s="132" t="n"/>
      <c r="H18" s="132" t="n"/>
    </row>
    <row r="19" ht="15" customHeight="1" s="127">
      <c r="D19" s="145" t="n"/>
      <c r="E19" s="145" t="n"/>
      <c r="F19" s="145" t="n"/>
      <c r="G19" s="145" t="n"/>
      <c r="H19" s="145" t="n"/>
    </row>
  </sheetData>
  <mergeCells count="19">
    <mergeCell ref="F15:F16"/>
    <mergeCell ref="E17:E18"/>
    <mergeCell ref="G17:G18"/>
    <mergeCell ref="B9:H9"/>
    <mergeCell ref="B6:H6"/>
    <mergeCell ref="A1:H1"/>
    <mergeCell ref="B5:H5"/>
    <mergeCell ref="H17:H18"/>
    <mergeCell ref="F17:F18"/>
    <mergeCell ref="E15:E16"/>
    <mergeCell ref="G15:G16"/>
    <mergeCell ref="B7:H7"/>
    <mergeCell ref="A3:H3"/>
    <mergeCell ref="B12:H12"/>
    <mergeCell ref="B11:H11"/>
    <mergeCell ref="D15:D18"/>
    <mergeCell ref="H15:H16"/>
    <mergeCell ref="B8:H8"/>
    <mergeCell ref="B10:H10"/>
  </mergeCells>
  <printOptions horizontalCentered="1"/>
  <pageMargins left="0.708333333333333" right="0.708333333333333" top="1.92916666666667" bottom="0.747916666666667" header="0.511811023622047" footer="0.511811023622047"/>
  <pageSetup orientation="portrait" paperSize="9" scale="97" verticalDpi="300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H69"/>
  <sheetViews>
    <sheetView showGridLines="0" topLeftCell="A31" zoomScaleNormal="100" workbookViewId="0">
      <selection activeCell="A35" sqref="A35:XFD41"/>
    </sheetView>
  </sheetViews>
  <sheetFormatPr baseColWidth="8" defaultColWidth="8.6640625" defaultRowHeight="11.25"/>
  <cols>
    <col width="31.1640625" customWidth="1" style="127" min="1" max="1"/>
    <col width="21.33203125" customWidth="1" style="127" min="2" max="3"/>
    <col width="16.83203125" customWidth="1" style="127" min="4" max="4"/>
    <col width="11.33203125" customWidth="1" style="127" min="5" max="5"/>
    <col width="21.33203125" customWidth="1" style="127" min="6" max="6"/>
    <col width="16.83203125" customWidth="1" style="127" min="7" max="7"/>
    <col width="11.33203125" customWidth="1" style="127" min="8" max="8"/>
  </cols>
  <sheetData>
    <row r="1" ht="27.75" customHeight="1" s="127">
      <c r="A1" s="141" t="inlineStr">
        <is>
          <t>핵심지표 요약</t>
        </is>
      </c>
    </row>
    <row r="2" ht="22.5" customHeight="1" s="127">
      <c r="A2" s="147">
        <f>TEXT(인덱스!$K$1,"yyyy")&amp;"년 1월 ~ "&amp;MONTH(인덱스!$K$1)&amp;"월 누적 기준 ( 기준일 : "&amp;TEXT(인덱스!$K$1,"yyyy")&amp;"년"&amp;TEXT(MONTH(인덱스!$K$1),"00")&amp;"월"&amp;TEXT(DAY(인덱스!$K$1),"00")&amp;"일 )"</f>
        <v/>
      </c>
    </row>
    <row r="3" ht="18.75" customHeight="1" s="127"/>
    <row r="4" ht="15" customHeight="1" s="127">
      <c r="A4" s="11" t="inlineStr">
        <is>
          <t>■ 손익 요약  (단위: 천원)</t>
        </is>
      </c>
    </row>
    <row r="5" ht="16.5" customHeight="1" s="127">
      <c r="A5" s="142" t="inlineStr">
        <is>
          <t>구분</t>
        </is>
      </c>
      <c r="B5" s="148">
        <f>"전년동기 대비 ("&amp;(YEAR(인덱스!$K$1)-1)&amp;"년 1~"&amp;MONTH(인덱스!$K$1)&amp;"월)"</f>
        <v/>
      </c>
      <c r="C5" s="145" t="n"/>
      <c r="D5" s="145" t="n"/>
      <c r="E5" s="146" t="n"/>
      <c r="F5" s="144" t="inlineStr">
        <is>
          <t>전기 대비 (2025년 연간)</t>
        </is>
      </c>
      <c r="G5" s="145" t="n"/>
      <c r="H5" s="146" t="n"/>
    </row>
    <row r="6" ht="18" customHeight="1" s="127">
      <c r="A6" s="134" t="n"/>
      <c r="B6" s="12">
        <f>"당기(1~"&amp;MONTH(인덱스!$K$1)&amp;"월)"</f>
        <v/>
      </c>
      <c r="C6" s="13">
        <f>"전년동기(1~"&amp;MONTH(인덱스!$K$1)&amp;"월)"</f>
        <v/>
      </c>
      <c r="D6" s="14" t="inlineStr">
        <is>
          <t>증감액</t>
        </is>
      </c>
      <c r="E6" s="15" t="inlineStr">
        <is>
          <t>증감률</t>
        </is>
      </c>
      <c r="F6" s="16" t="inlineStr">
        <is>
          <t>전기(연간)</t>
        </is>
      </c>
      <c r="G6" s="14" t="inlineStr">
        <is>
          <t>증감액</t>
        </is>
      </c>
      <c r="H6" s="15" t="inlineStr">
        <is>
          <t>증감률</t>
        </is>
      </c>
    </row>
    <row r="7" ht="16.5" customHeight="1" s="127">
      <c r="A7" s="17" t="inlineStr">
        <is>
          <t>매출액</t>
        </is>
      </c>
      <c r="B7" s="165">
        <f>'매출액대비 비율분석'!C9</f>
        <v/>
      </c>
      <c r="C7" s="166">
        <f>IFERROR(INDEX('기간별손익계산서(전년동기)'!$B:$B,MATCH(SUBSTITUTE("Ⅰ  . 매      출      액"," ","")&amp;"|1",'기간별손익계산서(전년동기)'!$P:$P,0)),0)</f>
        <v/>
      </c>
      <c r="D7" s="166">
        <f>B7-C7</f>
        <v/>
      </c>
      <c r="E7" s="167">
        <f>IFERROR(IF(C7=0,"",(B7-C7)/ABS(C7)),"")</f>
        <v/>
      </c>
      <c r="F7" s="165">
        <f>'매출액대비 비율분석'!F9</f>
        <v/>
      </c>
      <c r="G7" s="166">
        <f>B7-F7</f>
        <v/>
      </c>
      <c r="H7" s="167">
        <f>IFERROR(IF(F7=0,"",(B7-F7)/ABS(F7)),"")</f>
        <v/>
      </c>
    </row>
    <row r="8" ht="16.5" customHeight="1" s="127">
      <c r="A8" s="21" t="inlineStr">
        <is>
          <t>매출원가</t>
        </is>
      </c>
      <c r="B8" s="168">
        <f>'매출액대비 비율분석'!C12</f>
        <v/>
      </c>
      <c r="C8" s="169">
        <f>IFERROR(INDEX('기간별손익계산서(전년동기)'!$B:$B,MATCH(SUBSTITUTE("Ⅱ  . 매    출   원   가"," ","")&amp;"|1",'기간별손익계산서(전년동기)'!$P:$P,0)),0)</f>
        <v/>
      </c>
      <c r="D8" s="169">
        <f>B8-C8</f>
        <v/>
      </c>
      <c r="E8" s="170">
        <f>IFERROR(IF(C8=0,"",(B8-C8)/ABS(C8)),"")</f>
        <v/>
      </c>
      <c r="F8" s="168">
        <f>'매출액대비 비율분석'!F12</f>
        <v/>
      </c>
      <c r="G8" s="169">
        <f>B8-F8</f>
        <v/>
      </c>
      <c r="H8" s="170">
        <f>IFERROR(IF(F8=0,"",(B8-F8)/ABS(F8)),"")</f>
        <v/>
      </c>
    </row>
    <row r="9" ht="16.5" customHeight="1" s="127">
      <c r="A9" s="25" t="inlineStr">
        <is>
          <t>매출총이익</t>
        </is>
      </c>
      <c r="B9" s="171">
        <f>'매출액대비 비율분석'!C18</f>
        <v/>
      </c>
      <c r="C9" s="172">
        <f>IFERROR(INDEX('기간별손익계산서(전년동기)'!$B:$B,MATCH(SUBSTITUTE("Ⅲ  . 매  출  총  이  익"," ","")&amp;"|1",'기간별손익계산서(전년동기)'!$P:$P,0)),0)</f>
        <v/>
      </c>
      <c r="D9" s="172">
        <f>B9-C9</f>
        <v/>
      </c>
      <c r="E9" s="173">
        <f>IFERROR(IF(C9=0,"",(B9-C9)/ABS(C9)),"")</f>
        <v/>
      </c>
      <c r="F9" s="171">
        <f>'매출액대비 비율분석'!F18</f>
        <v/>
      </c>
      <c r="G9" s="172">
        <f>B9-F9</f>
        <v/>
      </c>
      <c r="H9" s="173">
        <f>IFERROR(IF(F9=0,"",(B9-F9)/ABS(F9)),"")</f>
        <v/>
      </c>
    </row>
    <row r="10" ht="16.5" customHeight="1" s="127">
      <c r="A10" s="21" t="inlineStr">
        <is>
          <t>판매관리비</t>
        </is>
      </c>
      <c r="B10" s="168">
        <f>'매출액대비 비율분석'!C19</f>
        <v/>
      </c>
      <c r="C10" s="169">
        <f>IFERROR(INDEX('기간별손익계산서(전년동기)'!$B:$B,MATCH(SUBSTITUTE("Ⅳ  . 판  매  관  리  비"," ","")&amp;"|1",'기간별손익계산서(전년동기)'!$P:$P,0)),0)</f>
        <v/>
      </c>
      <c r="D10" s="169">
        <f>B10-C10</f>
        <v/>
      </c>
      <c r="E10" s="170">
        <f>IFERROR(IF(C10=0,"",(B10-C10)/ABS(C10)),"")</f>
        <v/>
      </c>
      <c r="F10" s="168">
        <f>'매출액대비 비율분석'!F19</f>
        <v/>
      </c>
      <c r="G10" s="169">
        <f>B10-F10</f>
        <v/>
      </c>
      <c r="H10" s="170">
        <f>IFERROR(IF(F10=0,"",(B10-F10)/ABS(F10)),"")</f>
        <v/>
      </c>
    </row>
    <row r="11" ht="16.5" customHeight="1" s="127">
      <c r="A11" s="25" t="inlineStr">
        <is>
          <t>영업이익</t>
        </is>
      </c>
      <c r="B11" s="171">
        <f>'매출액대비 비율분석'!C41</f>
        <v/>
      </c>
      <c r="C11" s="172">
        <f>IFERROR(INDEX('기간별손익계산서(전년동기)'!$B:$B,MATCH(SUBSTITUTE("Ⅴ  . 영    업   이   익"," ","")&amp;"|1",'기간별손익계산서(전년동기)'!$P:$P,0)),0)</f>
        <v/>
      </c>
      <c r="D11" s="172">
        <f>B11-C11</f>
        <v/>
      </c>
      <c r="E11" s="173">
        <f>IFERROR(IF(C11=0,"",(B11-C11)/ABS(C11)),"")</f>
        <v/>
      </c>
      <c r="F11" s="171">
        <f>'매출액대비 비율분석'!F41</f>
        <v/>
      </c>
      <c r="G11" s="172">
        <f>B11-F11</f>
        <v/>
      </c>
      <c r="H11" s="173">
        <f>IFERROR(IF(F11=0,"",(B11-F11)/ABS(F11)),"")</f>
        <v/>
      </c>
    </row>
    <row r="12" ht="16.5" customHeight="1" s="127">
      <c r="A12" s="21" t="inlineStr">
        <is>
          <t>영업외수익</t>
        </is>
      </c>
      <c r="B12" s="168">
        <f>'매출액대비 비율분석'!C42</f>
        <v/>
      </c>
      <c r="C12" s="169">
        <f>IFERROR(INDEX('기간별손익계산서(전년동기)'!$B:$B,MATCH(SUBSTITUTE("Ⅵ  . 영  업  외  수  익"," ","")&amp;"|1",'기간별손익계산서(전년동기)'!$P:$P,0)),0)</f>
        <v/>
      </c>
      <c r="D12" s="169">
        <f>B12-C12</f>
        <v/>
      </c>
      <c r="E12" s="170">
        <f>IFERROR(IF(C12=0,"",(B12-C12)/ABS(C12)),"")</f>
        <v/>
      </c>
      <c r="F12" s="168">
        <f>'매출액대비 비율분석'!F42</f>
        <v/>
      </c>
      <c r="G12" s="169">
        <f>B12-F12</f>
        <v/>
      </c>
      <c r="H12" s="170">
        <f>IFERROR(IF(F12=0,"",(B12-F12)/ABS(F12)),"")</f>
        <v/>
      </c>
    </row>
    <row r="13" ht="16.5" customHeight="1" s="127">
      <c r="A13" s="21" t="inlineStr">
        <is>
          <t>영업외비용</t>
        </is>
      </c>
      <c r="B13" s="168">
        <f>'매출액대비 비율분석'!C50</f>
        <v/>
      </c>
      <c r="C13" s="169">
        <f>IFERROR(INDEX('기간별손익계산서(전년동기)'!$B:$B,MATCH(SUBSTITUTE("Ⅶ  . 영  업  외  비  용"," ","")&amp;"|1",'기간별손익계산서(전년동기)'!$P:$P,0)),0)</f>
        <v/>
      </c>
      <c r="D13" s="169">
        <f>B13-C13</f>
        <v/>
      </c>
      <c r="E13" s="170">
        <f>IFERROR(IF(C13=0,"",(B13-C13)/ABS(C13)),"")</f>
        <v/>
      </c>
      <c r="F13" s="168">
        <f>'매출액대비 비율분석'!F50</f>
        <v/>
      </c>
      <c r="G13" s="169">
        <f>B13-F13</f>
        <v/>
      </c>
      <c r="H13" s="170">
        <f>IFERROR(IF(F13=0,"",(B13-F13)/ABS(F13)),"")</f>
        <v/>
      </c>
    </row>
    <row r="14" ht="16.5" customHeight="1" s="127">
      <c r="A14" s="25" t="inlineStr">
        <is>
          <t>법인세차감전순이익</t>
        </is>
      </c>
      <c r="B14" s="171">
        <f>'매출액대비 비율분석'!C58</f>
        <v/>
      </c>
      <c r="C14" s="172">
        <f>IFERROR(INDEX('기간별손익계산서(전년동기)'!$B:$B,MATCH(SUBSTITUTE("Ⅷ  . 법인세비용차감전순이익"," ","")&amp;"|1",'기간별손익계산서(전년동기)'!$P:$P,0)),0)</f>
        <v/>
      </c>
      <c r="D14" s="172">
        <f>B14-C14</f>
        <v/>
      </c>
      <c r="E14" s="173">
        <f>IFERROR(IF(C14=0,"",(B14-C14)/ABS(C14)),"")</f>
        <v/>
      </c>
      <c r="F14" s="171">
        <f>'매출액대비 비율분석'!F58</f>
        <v/>
      </c>
      <c r="G14" s="172">
        <f>B14-F14</f>
        <v/>
      </c>
      <c r="H14" s="173">
        <f>IFERROR(IF(F14=0,"",(B14-F14)/ABS(F14)),"")</f>
        <v/>
      </c>
    </row>
    <row r="15" ht="16.5" customHeight="1" s="127">
      <c r="A15" s="21" t="inlineStr">
        <is>
          <t>법인세비용</t>
        </is>
      </c>
      <c r="B15" s="168">
        <f>'매출액대비 비율분석'!C59</f>
        <v/>
      </c>
      <c r="C15" s="169">
        <f>IFERROR(INDEX('기간별손익계산서(전년동기)'!$B:$B,MATCH(SUBSTITUTE("Ⅸ  . 법  인  세  비  용"," ","")&amp;"|1",'기간별손익계산서(전년동기)'!$P:$P,0)),0)</f>
        <v/>
      </c>
      <c r="D15" s="169">
        <f>B15-C15</f>
        <v/>
      </c>
      <c r="E15" s="170">
        <f>IFERROR(IF(C15=0,"",(B15-C15)/ABS(C15)),"")</f>
        <v/>
      </c>
      <c r="F15" s="168">
        <f>'매출액대비 비율분석'!F59</f>
        <v/>
      </c>
      <c r="G15" s="169">
        <f>B15-F15</f>
        <v/>
      </c>
      <c r="H15" s="170">
        <f>IFERROR(IF(F15=0,"",(B15-F15)/ABS(F15)),"")</f>
        <v/>
      </c>
    </row>
    <row r="16" ht="16.5" customHeight="1" s="127">
      <c r="A16" s="25" t="inlineStr">
        <is>
          <t>당기순이익</t>
        </is>
      </c>
      <c r="B16" s="171">
        <f>'매출액대비 비율분석'!C61</f>
        <v/>
      </c>
      <c r="C16" s="172">
        <f>IFERROR(INDEX('기간별손익계산서(전년동기)'!$B:$B,MATCH(SUBSTITUTE("Ⅹ  . 당  기  순  이  익"," ","")&amp;"|1",'기간별손익계산서(전년동기)'!$P:$P,0)),0)</f>
        <v/>
      </c>
      <c r="D16" s="172">
        <f>B16-C16</f>
        <v/>
      </c>
      <c r="E16" s="173">
        <f>IFERROR(IF(C16=0,"",(B16-C16)/ABS(C16)),"")</f>
        <v/>
      </c>
      <c r="F16" s="171">
        <f>'매출액대비 비율분석'!F61</f>
        <v/>
      </c>
      <c r="G16" s="172">
        <f>B16-F16</f>
        <v/>
      </c>
      <c r="H16" s="173">
        <f>IFERROR(IF(F16=0,"",(B16-F16)/ABS(F16)),"")</f>
        <v/>
      </c>
    </row>
    <row r="17" ht="16.5" customHeight="1" s="127">
      <c r="A17" s="29" t="inlineStr">
        <is>
          <t>영업이익률(매출액대비)</t>
        </is>
      </c>
      <c r="B17" s="174">
        <f>IFERROR(B11/B7,"")</f>
        <v/>
      </c>
      <c r="C17" s="175">
        <f>IFERROR(C11/C7,"")</f>
        <v/>
      </c>
      <c r="D17" s="32" t="n"/>
      <c r="E17" s="33" t="n"/>
      <c r="F17" s="174">
        <f>IFERROR(F11/F7,"")</f>
        <v/>
      </c>
      <c r="G17" s="32" t="n"/>
      <c r="H17" s="33" t="n"/>
    </row>
    <row r="18" ht="16.5" customHeight="1" s="127">
      <c r="A18" s="34" t="inlineStr">
        <is>
          <t>당기순이익률(매출액대비)</t>
        </is>
      </c>
      <c r="B18" s="176">
        <f>IFERROR(B16/B7,"")</f>
        <v/>
      </c>
      <c r="C18" s="177">
        <f>IFERROR(C16/C7,"")</f>
        <v/>
      </c>
      <c r="D18" s="37" t="n"/>
      <c r="E18" s="38" t="n"/>
      <c r="F18" s="176">
        <f>IFERROR(F16/F7,"")</f>
        <v/>
      </c>
      <c r="G18" s="37" t="n"/>
      <c r="H18" s="38" t="n"/>
    </row>
    <row r="20" ht="15" customHeight="1" s="127">
      <c r="A20" s="11" t="inlineStr">
        <is>
          <t>■ 재무상태 요약  (단위: 천원)</t>
        </is>
      </c>
    </row>
    <row r="21" ht="30" customHeight="1" s="127">
      <c r="A21" s="39" t="inlineStr">
        <is>
          <t>구분</t>
        </is>
      </c>
      <c r="B21" s="40" t="inlineStr">
        <is>
          <t>당기</t>
        </is>
      </c>
      <c r="C21" s="41" t="inlineStr">
        <is>
          <t>전기</t>
        </is>
      </c>
      <c r="D21" s="42" t="inlineStr">
        <is>
          <t>증감액</t>
        </is>
      </c>
      <c r="E21" s="41" t="inlineStr">
        <is>
          <t>증감률</t>
        </is>
      </c>
    </row>
    <row r="22" ht="16.5" customHeight="1" s="127">
      <c r="A22" s="43" t="inlineStr">
        <is>
          <t>자산총계</t>
        </is>
      </c>
      <c r="B22" s="165">
        <f>('재무상태표(내역)'!C50)+0</f>
        <v/>
      </c>
      <c r="C22" s="178">
        <f>('재무상태표(내역)'!F50)+0</f>
        <v/>
      </c>
      <c r="D22" s="179">
        <f>B22-C22</f>
        <v/>
      </c>
      <c r="E22" s="167">
        <f>IFERROR(IF(C22=0,"",(B22-C22)/ABS(C22)),"")</f>
        <v/>
      </c>
    </row>
    <row r="23" ht="16.5" customHeight="1" s="127">
      <c r="A23" s="46" t="inlineStr">
        <is>
          <t>부채총계</t>
        </is>
      </c>
      <c r="B23" s="171">
        <f>('재무상태표(내역)'!C65)+0</f>
        <v/>
      </c>
      <c r="C23" s="180">
        <f>('재무상태표(내역)'!F65)+0</f>
        <v/>
      </c>
      <c r="D23" s="181">
        <f>B23-C23</f>
        <v/>
      </c>
      <c r="E23" s="173">
        <f>IFERROR(IF(C23=0,"",(B23-C23)/ABS(C23)),"")</f>
        <v/>
      </c>
    </row>
    <row r="24" ht="16.5" customHeight="1" s="127">
      <c r="A24" s="46" t="inlineStr">
        <is>
          <t>자본총계</t>
        </is>
      </c>
      <c r="B24" s="171">
        <f>('재무상태표(내역)'!C79)+0</f>
        <v/>
      </c>
      <c r="C24" s="180">
        <f>('재무상태표(내역)'!F79)+0</f>
        <v/>
      </c>
      <c r="D24" s="181">
        <f>B24-C24</f>
        <v/>
      </c>
      <c r="E24" s="173">
        <f>IFERROR(IF(C24=0,"",(B24-C24)/ABS(C24)),"")</f>
        <v/>
      </c>
    </row>
    <row r="25" ht="16.5" customHeight="1" s="127">
      <c r="A25" s="49" t="inlineStr">
        <is>
          <t>부채비율(부채/자본)</t>
        </is>
      </c>
      <c r="B25" s="176">
        <f>IFERROR(B23/B24,"")</f>
        <v/>
      </c>
      <c r="C25" s="182">
        <f>IFERROR(C23/C24,"")</f>
        <v/>
      </c>
      <c r="D25" s="51" t="n"/>
      <c r="E25" s="38" t="n"/>
    </row>
    <row r="27" ht="18.75" customHeight="1" s="127">
      <c r="A27" s="11" t="inlineStr">
        <is>
          <t>■ 월별 추이 (매출액 · 영업이익)  (단위: 천원)</t>
        </is>
      </c>
    </row>
    <row r="28" ht="30" customHeight="1" s="127">
      <c r="A28" s="142" t="inlineStr">
        <is>
          <t>월</t>
        </is>
      </c>
      <c r="B28" s="42" t="inlineStr">
        <is>
          <t>매출액</t>
        </is>
      </c>
      <c r="C28" s="41" t="inlineStr">
        <is>
          <t>영업이익</t>
        </is>
      </c>
    </row>
    <row r="29" ht="15" customHeight="1" s="127">
      <c r="A29" s="52">
        <f>IFERROR(MONTH(DATE(YEAR(인덱스!$K$1),1,1))&amp;"월","")</f>
        <v/>
      </c>
      <c r="B29" s="183">
        <f>IF(1&lt;=MONTH(인덱스!$K$1),INDEX(기간별손익계산서!$C:$N,2,1),NA())</f>
        <v/>
      </c>
      <c r="C29" s="184">
        <f>IF(1&lt;=MONTH(인덱스!$K$1),INDEX(기간별손익계산서!$C:$N,30,1),NA())</f>
        <v/>
      </c>
    </row>
    <row r="30" ht="15" customHeight="1" s="127">
      <c r="A30" s="55">
        <f>IFERROR(MONTH(DATE(YEAR(인덱스!$K$1),2,1))&amp;"월","")</f>
        <v/>
      </c>
      <c r="B30" s="168">
        <f>IF(2&lt;=MONTH(인덱스!$K$1),INDEX(기간별손익계산서!$C:$N,2,2),NA())</f>
        <v/>
      </c>
      <c r="C30" s="185">
        <f>IF(2&lt;=MONTH(인덱스!$K$1),INDEX(기간별손익계산서!$C:$N,30,2),NA())</f>
        <v/>
      </c>
    </row>
    <row r="31" ht="15" customHeight="1" s="127">
      <c r="A31" s="55">
        <f>IFERROR(MONTH(DATE(YEAR(인덱스!$K$1),3,1))&amp;"월","")</f>
        <v/>
      </c>
      <c r="B31" s="168">
        <f>IF(3&lt;=MONTH(인덱스!$K$1),INDEX(기간별손익계산서!$C:$N,2,3),NA())</f>
        <v/>
      </c>
      <c r="C31" s="185">
        <f>IF(3&lt;=MONTH(인덱스!$K$1),INDEX(기간별손익계산서!$C:$N,30,3),NA())</f>
        <v/>
      </c>
    </row>
    <row r="32" ht="15" customHeight="1" s="127">
      <c r="A32" s="55">
        <f>IFERROR(MONTH(DATE(YEAR(인덱스!$K$1),4,1))&amp;"월","")</f>
        <v/>
      </c>
      <c r="B32" s="168">
        <f>IF(4&lt;=MONTH(인덱스!$K$1),INDEX(기간별손익계산서!$C:$N,2,4),NA())</f>
        <v/>
      </c>
      <c r="C32" s="185">
        <f>IF(4&lt;=MONTH(인덱스!$K$1),INDEX(기간별손익계산서!$C:$N,30,4),NA())</f>
        <v/>
      </c>
    </row>
    <row r="33" ht="15" customHeight="1" s="127">
      <c r="A33" s="55">
        <f>IFERROR(MONTH(DATE(YEAR(인덱스!$K$1),5,1))&amp;"월","")</f>
        <v/>
      </c>
      <c r="B33" s="168">
        <f>IF(5&lt;=MONTH(인덱스!$K$1),INDEX(기간별손익계산서!$C:$N,2,5),NA())</f>
        <v/>
      </c>
      <c r="C33" s="185">
        <f>IF(5&lt;=MONTH(인덱스!$K$1),INDEX(기간별손익계산서!$C:$N,30,5),NA())</f>
        <v/>
      </c>
    </row>
    <row r="34" ht="15" customHeight="1" s="127">
      <c r="A34" s="55">
        <f>IFERROR(MONTH(DATE(YEAR(인덱스!$K$1),6,1))&amp;"월","")</f>
        <v/>
      </c>
      <c r="B34" s="168">
        <f>IF(6&lt;=MONTH(인덱스!$K$1),INDEX(기간별손익계산서!$C:$N,2,6),NA())</f>
        <v/>
      </c>
      <c r="C34" s="185">
        <f>IF(6&lt;=MONTH(인덱스!$K$1),INDEX(기간별손익계산서!$C:$N,30,6),NA())</f>
        <v/>
      </c>
    </row>
    <row r="35" ht="15" customHeight="1" s="127">
      <c r="A35" s="55">
        <f>IFERROR(MONTH(DATE(YEAR(인덱스!$K$1),7,1))&amp;"월","")</f>
        <v/>
      </c>
      <c r="B35" s="168">
        <f>IF(7&lt;=MONTH(인덱스!$K$1),INDEX(기간별손익계산서!$C:$N,2,7),NA())</f>
        <v/>
      </c>
      <c r="C35" s="185">
        <f>IF(7&lt;=MONTH(인덱스!$K$1),INDEX(기간별손익계산서!$C:$N,30,7),NA())</f>
        <v/>
      </c>
    </row>
    <row r="36" ht="15" customHeight="1" s="127">
      <c r="A36" s="55">
        <f>IFERROR(MONTH(DATE(YEAR(인덱스!$K$1),8,1))&amp;"월","")</f>
        <v/>
      </c>
      <c r="B36" s="168">
        <f>IF(8&lt;=MONTH(인덱스!$K$1),INDEX(기간별손익계산서!$C:$N,2,8),NA())</f>
        <v/>
      </c>
      <c r="C36" s="185">
        <f>IF(8&lt;=MONTH(인덱스!$K$1),INDEX(기간별손익계산서!$C:$N,30,8),NA())</f>
        <v/>
      </c>
    </row>
    <row r="37" ht="15" customHeight="1" s="127">
      <c r="A37" s="55">
        <f>IFERROR(MONTH(DATE(YEAR(인덱스!$K$1),9,1))&amp;"월","")</f>
        <v/>
      </c>
      <c r="B37" s="168">
        <f>IF(9&lt;=MONTH(인덱스!$K$1),INDEX(기간별손익계산서!$C:$N,2,9),NA())</f>
        <v/>
      </c>
      <c r="C37" s="185">
        <f>IF(9&lt;=MONTH(인덱스!$K$1),INDEX(기간별손익계산서!$C:$N,30,9),NA())</f>
        <v/>
      </c>
    </row>
    <row r="38" ht="15" customHeight="1" s="127">
      <c r="A38" s="55">
        <f>IFERROR(MONTH(DATE(YEAR(인덱스!$K$1),10,1))&amp;"월","")</f>
        <v/>
      </c>
      <c r="B38" s="168">
        <f>IF(10&lt;=MONTH(인덱스!$K$1),INDEX(기간별손익계산서!$C:$N,2,10),NA())</f>
        <v/>
      </c>
      <c r="C38" s="185">
        <f>IF(10&lt;=MONTH(인덱스!$K$1),INDEX(기간별손익계산서!$C:$N,30,10),NA())</f>
        <v/>
      </c>
    </row>
    <row r="39" ht="15" customHeight="1" s="127">
      <c r="A39" s="55">
        <f>IFERROR(MONTH(DATE(YEAR(인덱스!$K$1),11,1))&amp;"월","")</f>
        <v/>
      </c>
      <c r="B39" s="168">
        <f>IF(11&lt;=MONTH(인덱스!$K$1),INDEX(기간별손익계산서!$C:$N,2,11),NA())</f>
        <v/>
      </c>
      <c r="C39" s="185">
        <f>IF(11&lt;=MONTH(인덱스!$K$1),INDEX(기간별손익계산서!$C:$N,30,11),NA())</f>
        <v/>
      </c>
    </row>
    <row r="40" ht="15" customHeight="1" s="127">
      <c r="A40" s="55">
        <f>IFERROR(MONTH(DATE(YEAR(인덱스!$K$1),12,1))&amp;"월","")</f>
        <v/>
      </c>
      <c r="B40" s="168">
        <f>IF(12&lt;=MONTH(인덱스!$K$1),INDEX(기간별손익계산서!$C:$N,2,12),NA())</f>
        <v/>
      </c>
      <c r="C40" s="185">
        <f>IF(12&lt;=MONTH(인덱스!$K$1),INDEX(기간별손익계산서!$C:$N,30,12),NA())</f>
        <v/>
      </c>
    </row>
    <row r="41" ht="16.5" customHeight="1" s="127">
      <c r="A41" s="57" t="inlineStr">
        <is>
          <t>총계</t>
        </is>
      </c>
      <c r="B41" s="186">
        <f>_xlfn.AGGREGATE(9,6,B29:B40)</f>
        <v/>
      </c>
      <c r="C41" s="187">
        <f>_xlfn.AGGREGATE(9,6,C29:C40)</f>
        <v/>
      </c>
    </row>
    <row r="67" ht="3.75" customHeight="1" s="127"/>
    <row r="68" ht="27.75" customHeight="1" s="127"/>
    <row r="69" ht="60" customHeight="1" s="127">
      <c r="A69" s="143" t="inlineStr">
        <is>
          <t>특이사항 : 전년동기(1~7월) 영업외비용에 법인세추납액 3,800만원 포함(업무용승용차 비용 불인정 법인세 납부액)</t>
        </is>
      </c>
    </row>
  </sheetData>
  <mergeCells count="6">
    <mergeCell ref="A5:A6"/>
    <mergeCell ref="A69:H69"/>
    <mergeCell ref="F5:H5"/>
    <mergeCell ref="A2:H2"/>
    <mergeCell ref="B5:E5"/>
    <mergeCell ref="A1:H1"/>
  </mergeCells>
  <conditionalFormatting sqref="E7:E16">
    <cfRule type="expression" priority="2" dxfId="2">
      <formula>E7&gt;0</formula>
    </cfRule>
    <cfRule type="expression" priority="3" dxfId="1">
      <formula>E7&lt;0</formula>
    </cfRule>
  </conditionalFormatting>
  <conditionalFormatting sqref="E22:E24">
    <cfRule type="expression" priority="6" dxfId="2">
      <formula>E22&gt;0</formula>
    </cfRule>
    <cfRule type="expression" priority="7" dxfId="1">
      <formula>E22&lt;0</formula>
    </cfRule>
  </conditionalFormatting>
  <conditionalFormatting sqref="H7:H16">
    <cfRule type="expression" priority="4" dxfId="2">
      <formula>H7&gt;0</formula>
    </cfRule>
    <cfRule type="expression" priority="5" dxfId="1">
      <formula>H7&lt;0</formula>
    </cfRule>
  </conditionalFormatting>
  <conditionalFormatting sqref="B29:C40">
    <cfRule type="expression" priority="7" dxfId="23">
      <formula>ISERROR(B29)</formula>
    </cfRule>
  </conditionalFormatting>
  <pageMargins left="0.747916666666667" right="0.747916666666667" top="1.18125" bottom="0.9840277777777779" header="0.511811023622047" footer="0.511811023622047"/>
  <pageSetup orientation="portrait" paperSize="9" scale="68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CC00"/>
    <outlinePr summaryBelow="1" summaryRight="1"/>
    <pageSetUpPr/>
  </sheetPr>
  <dimension ref="A1:K80"/>
  <sheetViews>
    <sheetView topLeftCell="A67" zoomScaleNormal="100" workbookViewId="0">
      <selection activeCell="D29" sqref="D29"/>
    </sheetView>
  </sheetViews>
  <sheetFormatPr baseColWidth="8" defaultColWidth="15.33203125" defaultRowHeight="11.25"/>
  <cols>
    <col width="28.83203125" customWidth="1" style="127" min="1" max="1"/>
    <col width="16.33203125" customWidth="1" style="127" min="2" max="2"/>
    <col width="18.5" customWidth="1" style="127" min="3" max="3"/>
    <col width="41" customWidth="1" style="127" min="4" max="4"/>
    <col width="16.33203125" customWidth="1" style="127" min="5" max="5"/>
    <col width="18.5" customWidth="1" style="127" min="6" max="6"/>
    <col width="16.33203125" customWidth="1" style="127" min="7" max="7"/>
    <col hidden="1" width="13" customWidth="1" style="127" min="8" max="8"/>
    <col hidden="1" width="0.33203125" customWidth="1" style="127" min="9" max="9"/>
    <col hidden="1" width="13.6640625" customWidth="1" style="127" min="10" max="10"/>
    <col hidden="1" width="11" customWidth="1" style="127" min="11" max="11"/>
  </cols>
  <sheetData>
    <row r="1" ht="23.25" customHeight="1" s="127">
      <c r="A1" s="149" t="inlineStr">
        <is>
          <t>재 무 상 태 표</t>
        </is>
      </c>
      <c r="H1" s="60" t="n"/>
    </row>
    <row r="2" ht="10.5" customHeight="1" s="127">
      <c r="A2" s="61" t="n"/>
      <c r="B2" s="61" t="n"/>
      <c r="C2" s="61" t="n"/>
      <c r="D2" s="61" t="n"/>
      <c r="E2" s="61" t="n"/>
      <c r="F2" s="61" t="n"/>
      <c r="G2" s="61" t="n"/>
      <c r="H2" s="61" t="n"/>
      <c r="I2" s="62">
        <f>IF(ROUND(C50,0)=ROUND(C80,0),"대차검증(당기): 일치","대차검증(당기): 불일치 ⚠")</f>
        <v/>
      </c>
    </row>
    <row r="3" ht="19.5" customHeight="1" s="127">
      <c r="A3" s="151">
        <f>"(당기) "&amp;TEXT(DATE(YEAR(인덱스!$K$1),1,1),"yyyy")&amp;"년"&amp;TEXT(MONTH(DATE(YEAR(인덱스!$K$1),1,1)),"00")&amp;"월"&amp;TEXT(DAY(DATE(YEAR(인덱스!$K$1),1,1)),"00")&amp;"일"&amp;" - "&amp;TEXT(인덱스!$K$1,"yyyy")&amp;"년"&amp;TEXT(MONTH(인덱스!$K$1),"00")&amp;"월"&amp;TEXT(DAY(인덱스!$K$1),"00")&amp;"일"</f>
        <v/>
      </c>
      <c r="H3" s="153" t="n"/>
      <c r="I3" s="62">
        <f>IF(ROUND(F50,0)=ROUND(F80,0),"대차검증(전기): 일치","대차검증(전기): 불일치 ⚠")</f>
        <v/>
      </c>
    </row>
    <row r="4" ht="19.5" customHeight="1" s="127">
      <c r="A4" s="151">
        <f>"(전기) "&amp;TEXT(DATE(YEAR(인덱스!$K$1)-1,1,1),"yyyy")&amp;"년"&amp;TEXT(MONTH(DATE(YEAR(인덱스!$K$1)-1,1,1)),"00")&amp;"월"&amp;TEXT(DAY(DATE(YEAR(인덱스!$K$1)-1,1,1)),"00")&amp;"일"&amp;" - "&amp;TEXT(DATE(YEAR(인덱스!$K$1)-1,12,31),"yyyy")&amp;"년"&amp;TEXT(MONTH(DATE(YEAR(인덱스!$K$1)-1,12,31)),"00")&amp;"월"&amp;TEXT(DAY(DATE(YEAR(인덱스!$K$1)-1,12,31)),"00")&amp;"일"</f>
        <v/>
      </c>
      <c r="H4" s="153" t="n"/>
    </row>
    <row r="5" ht="12.75" customHeight="1" s="127"/>
    <row r="6" ht="11.25" customHeight="1" s="127">
      <c r="A6" s="63" t="inlineStr">
        <is>
          <t>㈜창현</t>
        </is>
      </c>
      <c r="G6" s="64" t="inlineStr">
        <is>
          <t>단위 : 원</t>
        </is>
      </c>
    </row>
    <row r="7" ht="18.75" customHeight="1" s="127">
      <c r="A7" s="150" t="inlineStr">
        <is>
          <t>과  목</t>
        </is>
      </c>
      <c r="B7" s="150" t="inlineStr">
        <is>
          <t>제 35 (당)기</t>
        </is>
      </c>
      <c r="C7" s="130" t="n"/>
      <c r="D7" s="150" t="inlineStr">
        <is>
          <t>내역</t>
        </is>
      </c>
      <c r="E7" s="150" t="inlineStr">
        <is>
          <t>제 34 (전)기</t>
        </is>
      </c>
      <c r="F7" s="130" t="n"/>
      <c r="G7" s="150" t="inlineStr">
        <is>
          <t>증감</t>
        </is>
      </c>
      <c r="J7" s="66" t="inlineStr">
        <is>
          <t>일치확인</t>
        </is>
      </c>
      <c r="K7" s="66" t="inlineStr">
        <is>
          <t>증감률</t>
        </is>
      </c>
    </row>
    <row r="8" ht="18.75" customHeight="1" s="127">
      <c r="A8" s="152" t="n"/>
      <c r="B8" s="150" t="inlineStr">
        <is>
          <t>금    액</t>
        </is>
      </c>
      <c r="C8" s="130" t="n"/>
      <c r="D8" s="152" t="n"/>
      <c r="E8" s="150" t="inlineStr">
        <is>
          <t>금   액</t>
        </is>
      </c>
      <c r="F8" s="130" t="n"/>
      <c r="G8" s="152" t="n"/>
    </row>
    <row r="9" ht="17.25" customHeight="1" s="127">
      <c r="A9" s="67" t="inlineStr">
        <is>
          <t xml:space="preserve"> 자             산 </t>
        </is>
      </c>
      <c r="B9" s="68" t="n"/>
      <c r="C9" s="68" t="n"/>
      <c r="D9" s="69" t="n"/>
      <c r="E9" s="68" t="n"/>
      <c r="F9" s="68" t="n"/>
      <c r="G9" s="188" t="n"/>
      <c r="H9" s="71">
        <f>SUBSTITUTE(A9," ","")</f>
        <v/>
      </c>
      <c r="I9" s="71">
        <f>H9&amp;"|"&amp;COUNTIF($H$9:H9,H9)</f>
        <v/>
      </c>
      <c r="J9" s="72">
        <f>IF($A9="","",IF(ISNUMBER(MATCH($I9,재무상태표!$G:$G,0)),"✓ 일치","⚠ 확인필요"))</f>
        <v/>
      </c>
      <c r="K9" s="189">
        <f>IFERROR(IF(F9=0,"",(C9-F9)/ABS(F9)),"")</f>
        <v/>
      </c>
    </row>
    <row r="10" ht="17.25" customHeight="1" s="127">
      <c r="A10" s="74" t="inlineStr">
        <is>
          <t xml:space="preserve"> Ⅰ. 유  동    자  산  </t>
        </is>
      </c>
      <c r="B10" s="75">
        <f>IFERROR(INDEX(재무상태표!$B:$B,MATCH($I10,재무상태표!$G:$G,0)),0)</f>
        <v/>
      </c>
      <c r="C10" s="76">
        <f>IFERROR(INDEX(재무상태표!$C:$C,MATCH($I10,재무상태표!$G:$G,0)),0)</f>
        <v/>
      </c>
      <c r="D10" s="77" t="n"/>
      <c r="E10" s="75">
        <f>IFERROR(INDEX(재무상태표!$D:$D,MATCH($I10,재무상태표!$G:$G,0)),0)</f>
        <v/>
      </c>
      <c r="F10" s="76">
        <f>IFERROR(INDEX(재무상태표!$E:$E,MATCH($I10,재무상태표!$G:$G,0)),0)</f>
        <v/>
      </c>
      <c r="G10" s="190">
        <f>C10-F10</f>
        <v/>
      </c>
      <c r="H10" s="79">
        <f>SUBSTITUTE(A10," ","")</f>
        <v/>
      </c>
      <c r="I10" s="79">
        <f>H10&amp;"|"&amp;COUNTIF($H$9:H10,H10)</f>
        <v/>
      </c>
      <c r="J10" s="80">
        <f>IF($A10="","",IF(ISNUMBER(MATCH($I10,재무상태표!$G:$G,0)),"✓ 일치","⚠ 확인필요"))</f>
        <v/>
      </c>
      <c r="K10" s="191">
        <f>IFERROR(IF(F10=0,"",(C10-F10)/ABS(F10)),"")</f>
        <v/>
      </c>
    </row>
    <row r="11" ht="17.25" customHeight="1" s="127">
      <c r="A11" s="82" t="inlineStr">
        <is>
          <t xml:space="preserve"> (1) 당  좌    자  산 </t>
        </is>
      </c>
      <c r="B11" s="68">
        <f>IFERROR(INDEX(재무상태표!$B:$B,MATCH($I11,재무상태표!$G:$G,0)),0)</f>
        <v/>
      </c>
      <c r="C11" s="83">
        <f>IFERROR(INDEX(재무상태표!$C:$C,MATCH($I11,재무상태표!$G:$G,0)),0)</f>
        <v/>
      </c>
      <c r="D11" s="69" t="n"/>
      <c r="E11" s="68">
        <f>IFERROR(INDEX(재무상태표!$D:$D,MATCH($I11,재무상태표!$G:$G,0)),0)</f>
        <v/>
      </c>
      <c r="F11" s="83">
        <f>IFERROR(INDEX(재무상태표!$E:$E,MATCH($I11,재무상태표!$G:$G,0)),0)</f>
        <v/>
      </c>
      <c r="G11" s="188">
        <f>C11-F11</f>
        <v/>
      </c>
      <c r="H11" s="71">
        <f>SUBSTITUTE(A11," ","")</f>
        <v/>
      </c>
      <c r="I11" s="71">
        <f>H11&amp;"|"&amp;COUNTIF($H$9:H11,H11)</f>
        <v/>
      </c>
      <c r="J11" s="72">
        <f>IF($A11="","",IF(ISNUMBER(MATCH($I11,재무상태표!$G:$G,0)),"✓ 일치","⚠ 확인필요"))</f>
        <v/>
      </c>
      <c r="K11" s="189">
        <f>IFERROR(IF(F11=0,"",(C11-F11)/ABS(F11)),"")</f>
        <v/>
      </c>
    </row>
    <row r="12" ht="17.25" customHeight="1" s="127">
      <c r="A12" s="67" t="inlineStr">
        <is>
          <t xml:space="preserve">      현              금</t>
        </is>
      </c>
      <c r="B12" s="68">
        <f>IFERROR(INDEX(재무상태표!$B:$B,MATCH($I12,재무상태표!$G:$G,0)),0)</f>
        <v/>
      </c>
      <c r="C12" s="83">
        <f>IFERROR(INDEX(재무상태표!$C:$C,MATCH($I12,재무상태표!$G:$G,0)),0)</f>
        <v/>
      </c>
      <c r="D12" s="69" t="n"/>
      <c r="E12" s="68">
        <f>IFERROR(INDEX(재무상태표!$D:$D,MATCH($I12,재무상태표!$G:$G,0)),0)</f>
        <v/>
      </c>
      <c r="F12" s="83">
        <f>IFERROR(INDEX(재무상태표!$E:$E,MATCH($I12,재무상태표!$G:$G,0)),0)</f>
        <v/>
      </c>
      <c r="G12" s="188">
        <f>C12-F12</f>
        <v/>
      </c>
      <c r="H12" s="71">
        <f>SUBSTITUTE(A12," ","")</f>
        <v/>
      </c>
      <c r="I12" s="71">
        <f>H12&amp;"|"&amp;COUNTIF($H$9:H12,H12)</f>
        <v/>
      </c>
      <c r="J12" s="72">
        <f>IF($A12="","",IF(ISNUMBER(MATCH($I12,재무상태표!$G:$G,0)),"✓ 일치","⚠ 확인필요"))</f>
        <v/>
      </c>
      <c r="K12" s="189">
        <f>IFERROR(IF(F12=0,"",(C12-F12)/ABS(F12)),"")</f>
        <v/>
      </c>
    </row>
    <row r="13" ht="17.25" customHeight="1" s="127">
      <c r="A13" s="67" t="inlineStr">
        <is>
          <t xml:space="preserve">      보   통    예   금</t>
        </is>
      </c>
      <c r="B13" s="68">
        <f>IFERROR(INDEX(재무상태표!$B:$B,MATCH($I13,재무상태표!$G:$G,0)),0)</f>
        <v/>
      </c>
      <c r="C13" s="83">
        <f>IFERROR(INDEX(재무상태표!$C:$C,MATCH($I13,재무상태표!$G:$G,0)),0)</f>
        <v/>
      </c>
      <c r="D13" s="69" t="n"/>
      <c r="E13" s="68">
        <f>IFERROR(INDEX(재무상태표!$D:$D,MATCH($I13,재무상태표!$G:$G,0)),0)</f>
        <v/>
      </c>
      <c r="F13" s="83">
        <f>IFERROR(INDEX(재무상태표!$E:$E,MATCH($I13,재무상태표!$G:$G,0)),0)</f>
        <v/>
      </c>
      <c r="G13" s="188">
        <f>C13-F13</f>
        <v/>
      </c>
      <c r="H13" s="71">
        <f>SUBSTITUTE(A13," ","")</f>
        <v/>
      </c>
      <c r="I13" s="71">
        <f>H13&amp;"|"&amp;COUNTIF($H$9:H13,H13)</f>
        <v/>
      </c>
      <c r="J13" s="72">
        <f>IF($A13="","",IF(ISNUMBER(MATCH($I13,재무상태표!$G:$G,0)),"✓ 일치","⚠ 확인필요"))</f>
        <v/>
      </c>
      <c r="K13" s="189">
        <f>IFERROR(IF(F13=0,"",(C13-F13)/ABS(F13)),"")</f>
        <v/>
      </c>
    </row>
    <row r="14" ht="17.25" customHeight="1" s="127">
      <c r="A14" s="67" t="inlineStr">
        <is>
          <t xml:space="preserve">      단  기 금 융 상 품</t>
        </is>
      </c>
      <c r="B14" s="68">
        <f>IFERROR(INDEX(재무상태표!$B:$B,MATCH($I14,재무상태표!$G:$G,0)),0)</f>
        <v/>
      </c>
      <c r="C14" s="83">
        <f>IFERROR(INDEX(재무상태표!$C:$C,MATCH($I14,재무상태표!$G:$G,0)),0)</f>
        <v/>
      </c>
      <c r="D14" s="69" t="n"/>
      <c r="E14" s="68">
        <f>IFERROR(INDEX(재무상태표!$D:$D,MATCH($I14,재무상태표!$G:$G,0)),0)</f>
        <v/>
      </c>
      <c r="F14" s="83">
        <f>IFERROR(INDEX(재무상태표!$E:$E,MATCH($I14,재무상태표!$G:$G,0)),0)</f>
        <v/>
      </c>
      <c r="G14" s="188">
        <f>C14-F14</f>
        <v/>
      </c>
      <c r="H14" s="71">
        <f>SUBSTITUTE(A14," ","")</f>
        <v/>
      </c>
      <c r="I14" s="71">
        <f>H14&amp;"|"&amp;COUNTIF($H$9:H14,H14)</f>
        <v/>
      </c>
      <c r="J14" s="72">
        <f>IF($A14="","",IF(ISNUMBER(MATCH($I14,재무상태표!$G:$G,0)),"✓ 일치","⚠ 확인필요"))</f>
        <v/>
      </c>
      <c r="K14" s="189">
        <f>IFERROR(IF(F14=0,"",(C14-F14)/ABS(F14)),"")</f>
        <v/>
      </c>
    </row>
    <row r="15" ht="17.25" customHeight="1" s="127">
      <c r="A15" s="67" t="inlineStr">
        <is>
          <t xml:space="preserve">      외 화 보 통  예 금</t>
        </is>
      </c>
      <c r="B15" s="68">
        <f>IFERROR(INDEX(재무상태표!$B:$B,MATCH($I15,재무상태표!$G:$G,0)),0)</f>
        <v/>
      </c>
      <c r="C15" s="83">
        <f>IFERROR(INDEX(재무상태표!$C:$C,MATCH($I15,재무상태표!$G:$G,0)),0)</f>
        <v/>
      </c>
      <c r="D15" s="69" t="n"/>
      <c r="E15" s="68">
        <f>IFERROR(INDEX(재무상태표!$D:$D,MATCH($I15,재무상태표!$G:$G,0)),0)</f>
        <v/>
      </c>
      <c r="F15" s="83">
        <f>IFERROR(INDEX(재무상태표!$E:$E,MATCH($I15,재무상태표!$G:$G,0)),0)</f>
        <v/>
      </c>
      <c r="G15" s="188">
        <f>C15-F15</f>
        <v/>
      </c>
      <c r="H15" s="71">
        <f>SUBSTITUTE(A15," ","")</f>
        <v/>
      </c>
      <c r="I15" s="71">
        <f>H15&amp;"|"&amp;COUNTIF($H$9:H15,H15)</f>
        <v/>
      </c>
      <c r="J15" s="72">
        <f>IF($A15="","",IF(ISNUMBER(MATCH($I15,재무상태표!$G:$G,0)),"✓ 일치","⚠ 확인필요"))</f>
        <v/>
      </c>
      <c r="K15" s="189">
        <f>IFERROR(IF(F15=0,"",(C15-F15)/ABS(F15)),"")</f>
        <v/>
      </c>
    </row>
    <row r="16" ht="17.25" customHeight="1" s="127">
      <c r="A16" s="67" t="inlineStr">
        <is>
          <t xml:space="preserve">      외  상  매  출  금</t>
        </is>
      </c>
      <c r="B16" s="83">
        <f>IFERROR(INDEX(재무상태표!$B:$B,MATCH($I16,재무상태표!$G:$G,0)),0)</f>
        <v/>
      </c>
      <c r="C16" s="68">
        <f>IFERROR(INDEX(재무상태표!$C:$C,MATCH($I16,재무상태표!$G:$G,0)),0)</f>
        <v/>
      </c>
      <c r="D16" s="69" t="n"/>
      <c r="E16" s="83">
        <f>IFERROR(INDEX(재무상태표!$D:$D,MATCH($I16,재무상태표!$G:$G,0)),0)</f>
        <v/>
      </c>
      <c r="F16" s="68">
        <f>IFERROR(INDEX(재무상태표!$E:$E,MATCH($I16,재무상태표!$G:$G,0)),0)</f>
        <v/>
      </c>
      <c r="G16" s="188">
        <f>B16-E16</f>
        <v/>
      </c>
      <c r="H16" s="71">
        <f>SUBSTITUTE(A16," ","")</f>
        <v/>
      </c>
      <c r="I16" s="71">
        <f>H16&amp;"|"&amp;COUNTIF($H$9:H16,H16)</f>
        <v/>
      </c>
      <c r="J16" s="72">
        <f>IF($A16="","",IF(ISNUMBER(MATCH($I16,재무상태표!$G:$G,0)),"✓ 일치","⚠ 확인필요"))</f>
        <v/>
      </c>
      <c r="K16" s="189">
        <f>IFERROR(IF(F16=0,"",(C16-F16)/ABS(F16)),"")</f>
        <v/>
      </c>
    </row>
    <row r="17" ht="17.25" customHeight="1" s="127">
      <c r="A17" s="67" t="inlineStr">
        <is>
          <t xml:space="preserve">      대  손  충  당  금</t>
        </is>
      </c>
      <c r="B17" s="83">
        <f>IFERROR(INDEX(재무상태표!$B:$B,MATCH($I17,재무상태표!$G:$G,0)),0)</f>
        <v/>
      </c>
      <c r="C17" s="83">
        <f>IFERROR(INDEX(재무상태표!$C:$C,MATCH($I17,재무상태표!$G:$G,0)),0)</f>
        <v/>
      </c>
      <c r="D17" s="69" t="n"/>
      <c r="E17" s="83">
        <f>IFERROR(INDEX(재무상태표!$D:$D,MATCH($I17,재무상태표!$G:$G,0)),0)</f>
        <v/>
      </c>
      <c r="F17" s="83">
        <f>IFERROR(INDEX(재무상태표!$E:$E,MATCH($I17,재무상태표!$G:$G,0)),0)</f>
        <v/>
      </c>
      <c r="G17" s="188">
        <f>C17-F17</f>
        <v/>
      </c>
      <c r="H17" s="71">
        <f>SUBSTITUTE(A17," ","")</f>
        <v/>
      </c>
      <c r="I17" s="71">
        <f>H17&amp;"|"&amp;COUNTIF($H$9:H17,H17)</f>
        <v/>
      </c>
      <c r="J17" s="72">
        <f>IF($A17="","",IF(ISNUMBER(MATCH($I17,재무상태표!$G:$G,0)),"✓ 일치","⚠ 확인필요"))</f>
        <v/>
      </c>
      <c r="K17" s="189">
        <f>IFERROR(IF(F17=0,"",(C17-F17)/ABS(F17)),"")</f>
        <v/>
      </c>
    </row>
    <row r="18" ht="17.25" customHeight="1" s="127">
      <c r="A18" s="67" t="inlineStr">
        <is>
          <t xml:space="preserve">      받   을    어   음</t>
        </is>
      </c>
      <c r="B18" s="83">
        <f>IFERROR(INDEX(재무상태표!$B:$B,MATCH($I18,재무상태표!$G:$G,0)),0)</f>
        <v/>
      </c>
      <c r="C18" s="68">
        <f>IFERROR(INDEX(재무상태표!$C:$C,MATCH($I18,재무상태표!$G:$G,0)),0)</f>
        <v/>
      </c>
      <c r="D18" s="69" t="n"/>
      <c r="E18" s="83">
        <f>IFERROR(INDEX(재무상태표!$D:$D,MATCH($I18,재무상태표!$G:$G,0)),0)</f>
        <v/>
      </c>
      <c r="F18" s="68">
        <f>IFERROR(INDEX(재무상태표!$E:$E,MATCH($I18,재무상태표!$G:$G,0)),0)</f>
        <v/>
      </c>
      <c r="G18" s="188">
        <f>C18-F18</f>
        <v/>
      </c>
      <c r="H18" s="71">
        <f>SUBSTITUTE(A18," ","")</f>
        <v/>
      </c>
      <c r="I18" s="71">
        <f>H18&amp;"|"&amp;COUNTIF($H$9:H18,H18)</f>
        <v/>
      </c>
      <c r="J18" s="72">
        <f>IF($A18="","",IF(ISNUMBER(MATCH($I18,재무상태표!$G:$G,0)),"✓ 일치","⚠ 확인필요"))</f>
        <v/>
      </c>
      <c r="K18" s="189">
        <f>IFERROR(IF(F18=0,"",(C18-F18)/ABS(F18)),"")</f>
        <v/>
      </c>
    </row>
    <row r="19" ht="17.25" customHeight="1" s="127">
      <c r="A19" s="67" t="inlineStr">
        <is>
          <t xml:space="preserve">      대  손  충  당  금</t>
        </is>
      </c>
      <c r="B19" s="83">
        <f>IFERROR(INDEX(재무상태표!$B:$B,MATCH($I19,재무상태표!$G:$G,0)),0)</f>
        <v/>
      </c>
      <c r="C19" s="83">
        <f>IFERROR(INDEX(재무상태표!$C:$C,MATCH($I19,재무상태표!$G:$G,0)),0)</f>
        <v/>
      </c>
      <c r="D19" s="69" t="n"/>
      <c r="E19" s="83">
        <f>IFERROR(INDEX(재무상태표!$D:$D,MATCH($I19,재무상태표!$G:$G,0)),0)</f>
        <v/>
      </c>
      <c r="F19" s="83">
        <f>IFERROR(INDEX(재무상태표!$E:$E,MATCH($I19,재무상태표!$G:$G,0)),0)</f>
        <v/>
      </c>
      <c r="G19" s="188">
        <f>C19-F19</f>
        <v/>
      </c>
      <c r="H19" s="71">
        <f>SUBSTITUTE(A19," ","")</f>
        <v/>
      </c>
      <c r="I19" s="71">
        <f>H19&amp;"|"&amp;COUNTIF($H$9:H19,H19)</f>
        <v/>
      </c>
      <c r="J19" s="72">
        <f>IF($A19="","",IF(ISNUMBER(MATCH($I19,재무상태표!$G:$G,0)),"✓ 일치","⚠ 확인필요"))</f>
        <v/>
      </c>
      <c r="K19" s="189">
        <f>IFERROR(IF(F19=0,"",(C19-F19)/ABS(F19)),"")</f>
        <v/>
      </c>
    </row>
    <row r="20" ht="17.25" customHeight="1" s="127">
      <c r="A20" s="67" t="inlineStr">
        <is>
          <t xml:space="preserve">      단  기  대  여  금</t>
        </is>
      </c>
      <c r="B20" s="68">
        <f>IFERROR(INDEX(재무상태표!$B:$B,MATCH($I20,재무상태표!$G:$G,0)),0)</f>
        <v/>
      </c>
      <c r="C20" s="68">
        <f>IFERROR(INDEX(재무상태표!$C:$C,MATCH($I20,재무상태표!$G:$G,0)),0)</f>
        <v/>
      </c>
      <c r="D20" s="84" t="n"/>
      <c r="E20" s="68">
        <f>IFERROR(INDEX(재무상태표!$D:$D,MATCH($I20,재무상태표!$G:$G,0)),0)</f>
        <v/>
      </c>
      <c r="F20" s="68">
        <f>IFERROR(INDEX(재무상태표!$E:$E,MATCH($I20,재무상태표!$G:$G,0)),0)</f>
        <v/>
      </c>
      <c r="G20" s="188">
        <f>C20-F20</f>
        <v/>
      </c>
      <c r="H20" s="71">
        <f>SUBSTITUTE(A20," ","")</f>
        <v/>
      </c>
      <c r="I20" s="71">
        <f>H20&amp;"|"&amp;COUNTIF($H$9:H20,H20)</f>
        <v/>
      </c>
      <c r="J20" s="72">
        <f>IF($A20="","",IF(ISNUMBER(MATCH($I20,재무상태표!$G:$G,0)),"✓ 일치","⚠ 확인필요"))</f>
        <v/>
      </c>
      <c r="K20" s="189">
        <f>IFERROR(IF(F20=0,"",(C20-F20)/ABS(F20)),"")</f>
        <v/>
      </c>
    </row>
    <row r="21" ht="17.25" customHeight="1" s="127">
      <c r="A21" s="67" t="inlineStr">
        <is>
          <t xml:space="preserve">      미   수    수   익</t>
        </is>
      </c>
      <c r="B21" s="68">
        <f>IFERROR(INDEX(재무상태표!$B:$B,MATCH($I21,재무상태표!$G:$G,0)),0)</f>
        <v/>
      </c>
      <c r="C21" s="83">
        <f>IFERROR(INDEX(재무상태표!$C:$C,MATCH($I21,재무상태표!$G:$G,0)),0)</f>
        <v/>
      </c>
      <c r="D21" s="85" t="inlineStr">
        <is>
          <t>단기채권외</t>
        </is>
      </c>
      <c r="E21" s="68">
        <f>IFERROR(INDEX(재무상태표!$D:$D,MATCH($I21,재무상태표!$G:$G,0)),0)</f>
        <v/>
      </c>
      <c r="F21" s="83">
        <f>IFERROR(INDEX(재무상태표!$E:$E,MATCH($I21,재무상태표!$G:$G,0)),0)</f>
        <v/>
      </c>
      <c r="G21" s="188">
        <f>C21-F21</f>
        <v/>
      </c>
      <c r="H21" s="71">
        <f>SUBSTITUTE(A21," ","")</f>
        <v/>
      </c>
      <c r="I21" s="71">
        <f>H21&amp;"|"&amp;COUNTIF($H$9:H21,H21)</f>
        <v/>
      </c>
      <c r="J21" s="72">
        <f>IF($A21="","",IF(ISNUMBER(MATCH($I21,재무상태표!$G:$G,0)),"✓ 일치","⚠ 확인필요"))</f>
        <v/>
      </c>
      <c r="K21" s="189">
        <f>IFERROR(IF(F21=0,"",(C21-F21)/ABS(F21)),"")</f>
        <v/>
      </c>
    </row>
    <row r="22" ht="21.75" customHeight="1" s="127">
      <c r="A22" s="67" t="inlineStr">
        <is>
          <t xml:space="preserve">      미      수      금</t>
        </is>
      </c>
      <c r="B22" s="68">
        <f>IFERROR(INDEX(재무상태표!$B:$B,MATCH($I22,재무상태표!$G:$G,0)),0)</f>
        <v/>
      </c>
      <c r="C22" s="83">
        <f>IFERROR(INDEX(재무상태표!$C:$C,MATCH($I22,재무상태표!$G:$G,0)),0)</f>
        <v/>
      </c>
      <c r="D22" s="85" t="inlineStr">
        <is>
          <t>카드, 구매카드(KnS리테일)</t>
        </is>
      </c>
      <c r="E22" s="68">
        <f>IFERROR(INDEX(재무상태표!$D:$D,MATCH($I22,재무상태표!$G:$G,0)),0)</f>
        <v/>
      </c>
      <c r="F22" s="83">
        <f>IFERROR(INDEX(재무상태표!$E:$E,MATCH($I22,재무상태표!$G:$G,0)),0)</f>
        <v/>
      </c>
      <c r="G22" s="188">
        <f>C22-F22</f>
        <v/>
      </c>
      <c r="H22" s="71">
        <f>SUBSTITUTE(A22," ","")</f>
        <v/>
      </c>
      <c r="I22" s="71">
        <f>H22&amp;"|"&amp;COUNTIF($H$9:H22,H22)</f>
        <v/>
      </c>
      <c r="J22" s="72">
        <f>IF($A22="","",IF(ISNUMBER(MATCH($I22,재무상태표!$G:$G,0)),"✓ 일치","⚠ 확인필요"))</f>
        <v/>
      </c>
      <c r="K22" s="189">
        <f>IFERROR(IF(F22=0,"",(C22-F22)/ABS(F22)),"")</f>
        <v/>
      </c>
    </row>
    <row r="23" ht="24.75" customHeight="1" s="127">
      <c r="A23" s="67" t="inlineStr">
        <is>
          <t xml:space="preserve">      선      급      금</t>
        </is>
      </c>
      <c r="B23" s="68">
        <f>IFERROR(INDEX(재무상태표!$B:$B,MATCH($I23,재무상태표!$G:$G,0)),0)</f>
        <v/>
      </c>
      <c r="C23" s="83">
        <f>IFERROR(INDEX(재무상태표!$C:$C,MATCH($I23,재무상태표!$G:$G,0)),0)</f>
        <v/>
      </c>
      <c r="D23" s="85" t="inlineStr">
        <is>
          <t>안현주유소(1백만)</t>
        </is>
      </c>
      <c r="E23" s="68">
        <f>IFERROR(INDEX(재무상태표!$D:$D,MATCH($I23,재무상태표!$G:$G,0)),0)</f>
        <v/>
      </c>
      <c r="F23" s="83">
        <f>IFERROR(INDEX(재무상태표!$E:$E,MATCH($I23,재무상태표!$G:$G,0)),0)</f>
        <v/>
      </c>
      <c r="G23" s="188">
        <f>C23-F23</f>
        <v/>
      </c>
      <c r="H23" s="71">
        <f>SUBSTITUTE(A23," ","")</f>
        <v/>
      </c>
      <c r="I23" s="71">
        <f>H23&amp;"|"&amp;COUNTIF($H$9:H23,H23)</f>
        <v/>
      </c>
      <c r="J23" s="72">
        <f>IF($A23="","",IF(ISNUMBER(MATCH($I23,재무상태표!$G:$G,0)),"✓ 일치","⚠ 확인필요"))</f>
        <v/>
      </c>
      <c r="K23" s="189">
        <f>IFERROR(IF(F23=0,"",(C23-F23)/ABS(F23)),"")</f>
        <v/>
      </c>
    </row>
    <row r="24" ht="17.25" customHeight="1" s="127">
      <c r="A24" s="67" t="inlineStr">
        <is>
          <t xml:space="preserve">      선   급    비   용</t>
        </is>
      </c>
      <c r="B24" s="68">
        <f>IFERROR(INDEX(재무상태표!$B:$B,MATCH($I24,재무상태표!$G:$G,0)),0)</f>
        <v/>
      </c>
      <c r="C24" s="83">
        <f>IFERROR(INDEX(재무상태표!$C:$C,MATCH($I24,재무상태표!$G:$G,0)),0)</f>
        <v/>
      </c>
      <c r="D24" s="84" t="inlineStr">
        <is>
          <t>KB,DB손해보험,삼성화재</t>
        </is>
      </c>
      <c r="E24" s="68">
        <f>IFERROR(INDEX(재무상태표!$D:$D,MATCH($I24,재무상태표!$G:$G,0)),0)</f>
        <v/>
      </c>
      <c r="F24" s="83">
        <f>IFERROR(INDEX(재무상태표!$E:$E,MATCH($I24,재무상태표!$G:$G,0)),0)</f>
        <v/>
      </c>
      <c r="G24" s="188">
        <f>C24-F24</f>
        <v/>
      </c>
      <c r="H24" s="71">
        <f>SUBSTITUTE(A24," ","")</f>
        <v/>
      </c>
      <c r="I24" s="71">
        <f>H24&amp;"|"&amp;COUNTIF($H$9:H24,H24)</f>
        <v/>
      </c>
      <c r="J24" s="72">
        <f>IF($A24="","",IF(ISNUMBER(MATCH($I24,재무상태표!$G:$G,0)),"✓ 일치","⚠ 확인필요"))</f>
        <v/>
      </c>
      <c r="K24" s="189">
        <f>IFERROR(IF(F24=0,"",(C24-F24)/ABS(F24)),"")</f>
        <v/>
      </c>
    </row>
    <row r="25" ht="17.25" customHeight="1" s="127">
      <c r="A25" s="67" t="inlineStr">
        <is>
          <t xml:space="preserve">      가   지    급   금</t>
        </is>
      </c>
      <c r="B25" s="68">
        <f>IFERROR(INDEX(재무상태표!$B:$B,MATCH($I25,재무상태표!$G:$G,0)),0)</f>
        <v/>
      </c>
      <c r="C25" s="83">
        <f>IFERROR(INDEX(재무상태표!$C:$C,MATCH($I25,재무상태표!$G:$G,0)),0)</f>
        <v/>
      </c>
      <c r="D25" s="85" t="inlineStr">
        <is>
          <t>단기대여 9억(윤인희), 차량과태료외</t>
        </is>
      </c>
      <c r="E25" s="68">
        <f>IFERROR(INDEX(재무상태표!$D:$D,MATCH($I25,재무상태표!$G:$G,0)),0)</f>
        <v/>
      </c>
      <c r="F25" s="68">
        <f>IFERROR(INDEX(재무상태표!$E:$E,MATCH($I25,재무상태표!$G:$G,0)),0)</f>
        <v/>
      </c>
      <c r="G25" s="188">
        <f>C25-F25</f>
        <v/>
      </c>
      <c r="H25" s="71">
        <f>SUBSTITUTE(A25," ","")</f>
        <v/>
      </c>
      <c r="I25" s="71">
        <f>H25&amp;"|"&amp;COUNTIF($H$9:H25,H25)</f>
        <v/>
      </c>
      <c r="J25" s="72">
        <f>IF($A25="","",IF(ISNUMBER(MATCH($I25,재무상태표!$G:$G,0)),"✓ 일치","⚠ 확인필요"))</f>
        <v/>
      </c>
      <c r="K25" s="189">
        <f>IFERROR(IF(F25=0,"",(C25-F25)/ABS(F25)),"")</f>
        <v/>
      </c>
    </row>
    <row r="26" ht="17.25" customHeight="1" s="127">
      <c r="A26" s="67" t="inlineStr">
        <is>
          <t xml:space="preserve">      부 가 세  대 급 금</t>
        </is>
      </c>
      <c r="B26" s="68">
        <f>IFERROR(INDEX(재무상태표!$B:$B,MATCH($I26,재무상태표!$G:$G,0)),0)</f>
        <v/>
      </c>
      <c r="C26" s="83">
        <f>IFERROR(INDEX(재무상태표!$C:$C,MATCH($I26,재무상태표!$G:$G,0)),0)</f>
        <v/>
      </c>
      <c r="D26" s="85" t="n"/>
      <c r="E26" s="68">
        <f>IFERROR(INDEX(재무상태표!$D:$D,MATCH($I26,재무상태표!$G:$G,0)),0)</f>
        <v/>
      </c>
      <c r="F26" s="68">
        <f>IFERROR(INDEX(재무상태표!$E:$E,MATCH($I26,재무상태표!$G:$G,0)),0)</f>
        <v/>
      </c>
      <c r="G26" s="188">
        <f>C26-F26</f>
        <v/>
      </c>
      <c r="H26" s="71">
        <f>SUBSTITUTE(A26," ","")</f>
        <v/>
      </c>
      <c r="I26" s="71">
        <f>H26&amp;"|"&amp;COUNTIF($H$9:H26,H26)</f>
        <v/>
      </c>
      <c r="J26" s="72">
        <f>IF($A26="","",IF(ISNUMBER(MATCH($I26,재무상태표!$G:$G,0)),"✓ 일치","⚠ 확인필요"))</f>
        <v/>
      </c>
      <c r="K26" s="189">
        <f>IFERROR(IF(F26=0,"",(C26-F26)/ABS(F26)),"")</f>
        <v/>
      </c>
    </row>
    <row r="27" ht="17.25" customHeight="1" s="127">
      <c r="A27" s="67" t="inlineStr">
        <is>
          <t xml:space="preserve">      선   납    세   금</t>
        </is>
      </c>
      <c r="B27" s="68">
        <f>IFERROR(INDEX(재무상태표!$B:$B,MATCH($I27,재무상태표!$G:$G,0)),0)</f>
        <v/>
      </c>
      <c r="C27" s="83">
        <f>IFERROR(INDEX(재무상태표!$C:$C,MATCH($I27,재무상태표!$G:$G,0)),0)</f>
        <v/>
      </c>
      <c r="D27" s="86" t="inlineStr">
        <is>
          <t>금융투자상품 이자소득세외</t>
        </is>
      </c>
      <c r="E27" s="68">
        <f>IFERROR(INDEX(재무상태표!$D:$D,MATCH($I27,재무상태표!$G:$G,0)),0)</f>
        <v/>
      </c>
      <c r="F27" s="83">
        <f>IFERROR(INDEX(재무상태표!$E:$E,MATCH($I27,재무상태표!$G:$G,0)),0)</f>
        <v/>
      </c>
      <c r="G27" s="188">
        <f>C27-F27</f>
        <v/>
      </c>
      <c r="H27" s="71">
        <f>SUBSTITUTE(A27," ","")</f>
        <v/>
      </c>
      <c r="I27" s="71">
        <f>H27&amp;"|"&amp;COUNTIF($H$9:H27,H27)</f>
        <v/>
      </c>
      <c r="J27" s="72">
        <f>IF($A27="","",IF(ISNUMBER(MATCH($I27,재무상태표!$G:$G,0)),"✓ 일치","⚠ 확인필요"))</f>
        <v/>
      </c>
      <c r="K27" s="189">
        <f>IFERROR(IF(F27=0,"",(C27-F27)/ABS(F27)),"")</f>
        <v/>
      </c>
    </row>
    <row r="28" ht="17.25" customHeight="1" s="127">
      <c r="A28" s="82" t="inlineStr">
        <is>
          <t xml:space="preserve"> (2) 재  고    자  산 </t>
        </is>
      </c>
      <c r="B28" s="68">
        <f>IFERROR(INDEX(재무상태표!$B:$B,MATCH($I28,재무상태표!$G:$G,0)),0)</f>
        <v/>
      </c>
      <c r="C28" s="83">
        <f>IFERROR(INDEX(재무상태표!$C:$C,MATCH($I28,재무상태표!$G:$G,0)),0)</f>
        <v/>
      </c>
      <c r="D28" s="85" t="n"/>
      <c r="E28" s="68">
        <f>IFERROR(INDEX(재무상태표!$D:$D,MATCH($I28,재무상태표!$G:$G,0)),0)</f>
        <v/>
      </c>
      <c r="F28" s="83">
        <f>IFERROR(INDEX(재무상태표!$E:$E,MATCH($I28,재무상태표!$G:$G,0)),0)</f>
        <v/>
      </c>
      <c r="G28" s="188">
        <f>C28-F28</f>
        <v/>
      </c>
      <c r="H28" s="71">
        <f>SUBSTITUTE(A28," ","")</f>
        <v/>
      </c>
      <c r="I28" s="71">
        <f>H28&amp;"|"&amp;COUNTIF($H$9:H28,H28)</f>
        <v/>
      </c>
      <c r="J28" s="72">
        <f>IF($A28="","",IF(ISNUMBER(MATCH($I28,재무상태표!$G:$G,0)),"✓ 일치","⚠ 확인필요"))</f>
        <v/>
      </c>
      <c r="K28" s="189">
        <f>IFERROR(IF(F28=0,"",(C28-F28)/ABS(F28)),"")</f>
        <v/>
      </c>
    </row>
    <row r="29" ht="17.25" customHeight="1" s="127">
      <c r="A29" s="67" t="inlineStr">
        <is>
          <t xml:space="preserve">      상              품</t>
        </is>
      </c>
      <c r="B29" s="68">
        <f>IFERROR(INDEX(재무상태표!$B:$B,MATCH($I29,재무상태표!$G:$G,0)),0)</f>
        <v/>
      </c>
      <c r="C29" s="83">
        <f>IFERROR(INDEX(재무상태표!$C:$C,MATCH($I29,재무상태표!$G:$G,0)),0)</f>
        <v/>
      </c>
      <c r="D29" s="85" t="n"/>
      <c r="E29" s="68">
        <f>IFERROR(INDEX(재무상태표!$D:$D,MATCH($I29,재무상태표!$G:$G,0)),0)</f>
        <v/>
      </c>
      <c r="F29" s="83">
        <f>IFERROR(INDEX(재무상태표!$E:$E,MATCH($I29,재무상태표!$G:$G,0)),0)</f>
        <v/>
      </c>
      <c r="G29" s="188">
        <f>C29-F29</f>
        <v/>
      </c>
      <c r="H29" s="71">
        <f>SUBSTITUTE(A29," ","")</f>
        <v/>
      </c>
      <c r="I29" s="71">
        <f>H29&amp;"|"&amp;COUNTIF($H$9:H29,H29)</f>
        <v/>
      </c>
      <c r="J29" s="72">
        <f>IF($A29="","",IF(ISNUMBER(MATCH($I29,재무상태표!$G:$G,0)),"✓ 일치","⚠ 확인필요"))</f>
        <v/>
      </c>
      <c r="K29" s="189">
        <f>IFERROR(IF(F29=0,"",(C29-F29)/ABS(F29)),"")</f>
        <v/>
      </c>
    </row>
    <row r="30" ht="17.25" customHeight="1" s="127">
      <c r="A30" s="74" t="inlineStr">
        <is>
          <t xml:space="preserve"> Ⅱ. 비  유  동  자  산  </t>
        </is>
      </c>
      <c r="B30" s="75">
        <f>IFERROR(INDEX(재무상태표!$B:$B,MATCH($I30,재무상태표!$G:$G,0)),0)</f>
        <v/>
      </c>
      <c r="C30" s="76">
        <f>IFERROR(INDEX(재무상태표!$C:$C,MATCH($I30,재무상태표!$G:$G,0)),0)</f>
        <v/>
      </c>
      <c r="D30" s="87" t="n"/>
      <c r="E30" s="75">
        <f>IFERROR(INDEX(재무상태표!$D:$D,MATCH($I30,재무상태표!$G:$G,0)),0)</f>
        <v/>
      </c>
      <c r="F30" s="76">
        <f>IFERROR(INDEX(재무상태표!$E:$E,MATCH($I30,재무상태표!$G:$G,0)),0)</f>
        <v/>
      </c>
      <c r="G30" s="190">
        <f>C30-F30</f>
        <v/>
      </c>
      <c r="H30" s="79">
        <f>SUBSTITUTE(A30," ","")</f>
        <v/>
      </c>
      <c r="I30" s="79">
        <f>H30&amp;"|"&amp;COUNTIF($H$9:H30,H30)</f>
        <v/>
      </c>
      <c r="J30" s="80">
        <f>IF($A30="","",IF(ISNUMBER(MATCH($I30,재무상태표!$G:$G,0)),"✓ 일치","⚠ 확인필요"))</f>
        <v/>
      </c>
      <c r="K30" s="191">
        <f>IFERROR(IF(F30=0,"",(C30-F30)/ABS(F30)),"")</f>
        <v/>
      </c>
    </row>
    <row r="31" ht="17.25" customHeight="1" s="127">
      <c r="A31" s="82" t="inlineStr">
        <is>
          <t xml:space="preserve"> (1) 투  자    자  산  </t>
        </is>
      </c>
      <c r="B31" s="68">
        <f>IFERROR(INDEX(재무상태표!$B:$B,MATCH($I31,재무상태표!$G:$G,0)),0)</f>
        <v/>
      </c>
      <c r="C31" s="83">
        <f>IFERROR(INDEX(재무상태표!$C:$C,MATCH($I31,재무상태표!$G:$G,0)),0)</f>
        <v/>
      </c>
      <c r="D31" s="85" t="n"/>
      <c r="E31" s="68">
        <f>IFERROR(INDEX(재무상태표!$D:$D,MATCH($I31,재무상태표!$G:$G,0)),0)</f>
        <v/>
      </c>
      <c r="F31" s="83">
        <f>IFERROR(INDEX(재무상태표!$E:$E,MATCH($I31,재무상태표!$G:$G,0)),0)</f>
        <v/>
      </c>
      <c r="G31" s="188">
        <f>C31-F31</f>
        <v/>
      </c>
      <c r="H31" s="71">
        <f>SUBSTITUTE(A31," ","")</f>
        <v/>
      </c>
      <c r="I31" s="71">
        <f>H31&amp;"|"&amp;COUNTIF($H$9:H31,H31)</f>
        <v/>
      </c>
      <c r="J31" s="72">
        <f>IF($A31="","",IF(ISNUMBER(MATCH($I31,재무상태표!$G:$G,0)),"✓ 일치","⚠ 확인필요"))</f>
        <v/>
      </c>
      <c r="K31" s="189">
        <f>IFERROR(IF(F31=0,"",(C31-F31)/ABS(F31)),"")</f>
        <v/>
      </c>
    </row>
    <row r="32" ht="17.25" customHeight="1" s="127">
      <c r="A32" s="67" t="inlineStr">
        <is>
          <t xml:space="preserve">      매 도 가  능 증 권</t>
        </is>
      </c>
      <c r="B32" s="68">
        <f>IFERROR(INDEX(재무상태표!$B:$B,MATCH($I32,재무상태표!$G:$G,0)),0)</f>
        <v/>
      </c>
      <c r="C32" s="83">
        <f>IFERROR(INDEX(재무상태표!$C:$C,MATCH($I32,재무상태표!$G:$G,0)),0)</f>
        <v/>
      </c>
      <c r="D32" s="85" t="n"/>
      <c r="E32" s="68">
        <f>IFERROR(INDEX(재무상태표!$D:$D,MATCH($I32,재무상태표!$G:$G,0)),0)</f>
        <v/>
      </c>
      <c r="F32" s="83">
        <f>IFERROR(INDEX(재무상태표!$E:$E,MATCH($I32,재무상태표!$G:$G,0)),0)</f>
        <v/>
      </c>
      <c r="G32" s="188">
        <f>C32-F32</f>
        <v/>
      </c>
      <c r="H32" s="71">
        <f>SUBSTITUTE(A32," ","")</f>
        <v/>
      </c>
      <c r="I32" s="71">
        <f>H32&amp;"|"&amp;COUNTIF($H$9:H32,H32)</f>
        <v/>
      </c>
      <c r="J32" s="72">
        <f>IF($A32="","",IF(ISNUMBER(MATCH($I32,재무상태표!$G:$G,0)),"✓ 일치","⚠ 확인필요"))</f>
        <v/>
      </c>
      <c r="K32" s="189">
        <f>IFERROR(IF(F32=0,"",(C32-F32)/ABS(F32)),"")</f>
        <v/>
      </c>
    </row>
    <row r="33" ht="17.25" customHeight="1" s="127">
      <c r="A33" s="82" t="inlineStr">
        <is>
          <t xml:space="preserve"> (2) 유  형    자  산  </t>
        </is>
      </c>
      <c r="B33" s="68">
        <f>IFERROR(INDEX(재무상태표!$B:$B,MATCH($I33,재무상태표!$G:$G,0)),0)</f>
        <v/>
      </c>
      <c r="C33" s="83">
        <f>IFERROR(INDEX(재무상태표!$C:$C,MATCH($I33,재무상태표!$G:$G,0)),0)</f>
        <v/>
      </c>
      <c r="D33" s="85" t="n"/>
      <c r="E33" s="68">
        <f>IFERROR(INDEX(재무상태표!$D:$D,MATCH($I33,재무상태표!$G:$G,0)),0)</f>
        <v/>
      </c>
      <c r="F33" s="83">
        <f>IFERROR(INDEX(재무상태표!$E:$E,MATCH($I33,재무상태표!$G:$G,0)),0)</f>
        <v/>
      </c>
      <c r="G33" s="188">
        <f>C33-F33</f>
        <v/>
      </c>
      <c r="H33" s="71">
        <f>SUBSTITUTE(A33," ","")</f>
        <v/>
      </c>
      <c r="I33" s="71">
        <f>H33&amp;"|"&amp;COUNTIF($H$9:H33,H33)</f>
        <v/>
      </c>
      <c r="J33" s="72">
        <f>IF($A33="","",IF(ISNUMBER(MATCH($I33,재무상태표!$G:$G,0)),"✓ 일치","⚠ 확인필요"))</f>
        <v/>
      </c>
      <c r="K33" s="189">
        <f>IFERROR(IF(F33=0,"",(C33-F33)/ABS(F33)),"")</f>
        <v/>
      </c>
    </row>
    <row r="34" ht="17.25" customHeight="1" s="127">
      <c r="A34" s="67" t="inlineStr">
        <is>
          <t xml:space="preserve">      토              지</t>
        </is>
      </c>
      <c r="B34" s="68">
        <f>IFERROR(INDEX(재무상태표!$B:$B,MATCH($I34,재무상태표!$G:$G,0)),0)</f>
        <v/>
      </c>
      <c r="C34" s="83">
        <f>IFERROR(INDEX(재무상태표!$C:$C,MATCH($I34,재무상태표!$G:$G,0)),0)</f>
        <v/>
      </c>
      <c r="D34" s="85" t="n"/>
      <c r="E34" s="68">
        <f>IFERROR(INDEX(재무상태표!$D:$D,MATCH($I34,재무상태표!$G:$G,0)),0)</f>
        <v/>
      </c>
      <c r="F34" s="83">
        <f>IFERROR(INDEX(재무상태표!$E:$E,MATCH($I34,재무상태표!$G:$G,0)),0)</f>
        <v/>
      </c>
      <c r="G34" s="188">
        <f>C34-F34</f>
        <v/>
      </c>
      <c r="H34" s="71">
        <f>SUBSTITUTE(A34," ","")</f>
        <v/>
      </c>
      <c r="I34" s="71">
        <f>H34&amp;"|"&amp;COUNTIF($H$9:H34,H34)</f>
        <v/>
      </c>
      <c r="J34" s="72">
        <f>IF($A34="","",IF(ISNUMBER(MATCH($I34,재무상태표!$G:$G,0)),"✓ 일치","⚠ 확인필요"))</f>
        <v/>
      </c>
      <c r="K34" s="189">
        <f>IFERROR(IF(F34=0,"",(C34-F34)/ABS(F34)),"")</f>
        <v/>
      </c>
    </row>
    <row r="35" ht="17.25" customHeight="1" s="127">
      <c r="A35" s="67" t="inlineStr">
        <is>
          <t xml:space="preserve">      건              물</t>
        </is>
      </c>
      <c r="B35" s="83">
        <f>IFERROR(INDEX(재무상태표!$B:$B,MATCH($I35,재무상태표!$G:$G,0)),0)</f>
        <v/>
      </c>
      <c r="C35" s="68">
        <f>IFERROR(INDEX(재무상태표!$C:$C,MATCH($I35,재무상태표!$G:$G,0)),0)</f>
        <v/>
      </c>
      <c r="D35" s="85" t="n"/>
      <c r="E35" s="83">
        <f>IFERROR(INDEX(재무상태표!$D:$D,MATCH($I35,재무상태표!$G:$G,0)),0)</f>
        <v/>
      </c>
      <c r="F35" s="68">
        <f>IFERROR(INDEX(재무상태표!$E:$E,MATCH($I35,재무상태표!$G:$G,0)),0)</f>
        <v/>
      </c>
      <c r="G35" s="188">
        <f>C35-F35</f>
        <v/>
      </c>
      <c r="H35" s="71">
        <f>SUBSTITUTE(A35," ","")</f>
        <v/>
      </c>
      <c r="I35" s="71">
        <f>H35&amp;"|"&amp;COUNTIF($H$9:H35,H35)</f>
        <v/>
      </c>
      <c r="J35" s="72">
        <f>IF($A35="","",IF(ISNUMBER(MATCH($I35,재무상태표!$G:$G,0)),"✓ 일치","⚠ 확인필요"))</f>
        <v/>
      </c>
      <c r="K35" s="189">
        <f>IFERROR(IF(F35=0,"",(C35-F35)/ABS(F35)),"")</f>
        <v/>
      </c>
    </row>
    <row r="36" ht="17.25" customHeight="1" s="127">
      <c r="A36" s="67" t="inlineStr">
        <is>
          <t xml:space="preserve">      감가 상각 누 계 액</t>
        </is>
      </c>
      <c r="B36" s="83">
        <f>IFERROR(INDEX(재무상태표!$B:$B,MATCH($I36,재무상태표!$G:$G,0)),0)</f>
        <v/>
      </c>
      <c r="C36" s="83">
        <f>IFERROR(INDEX(재무상태표!$C:$C,MATCH($I36,재무상태표!$G:$G,0)),0)</f>
        <v/>
      </c>
      <c r="D36" s="85" t="n"/>
      <c r="E36" s="83">
        <f>IFERROR(INDEX(재무상태표!$D:$D,MATCH($I36,재무상태표!$G:$G,0)),0)</f>
        <v/>
      </c>
      <c r="F36" s="83">
        <f>IFERROR(INDEX(재무상태표!$E:$E,MATCH($I36,재무상태표!$G:$G,0)),0)</f>
        <v/>
      </c>
      <c r="G36" s="188">
        <f>C36-F36</f>
        <v/>
      </c>
      <c r="H36" s="71">
        <f>SUBSTITUTE(A36," ","")</f>
        <v/>
      </c>
      <c r="I36" s="71">
        <f>H36&amp;"|"&amp;COUNTIF($H$9:H36,H36)</f>
        <v/>
      </c>
      <c r="J36" s="72">
        <f>IF($A36="","",IF(ISNUMBER(MATCH($I36,재무상태표!$G:$G,0)),"✓ 일치","⚠ 확인필요"))</f>
        <v/>
      </c>
      <c r="K36" s="189">
        <f>IFERROR(IF(F36=0,"",(C36-F36)/ABS(F36)),"")</f>
        <v/>
      </c>
    </row>
    <row r="37" ht="17.25" customHeight="1" s="127">
      <c r="A37" s="67" t="inlineStr">
        <is>
          <t xml:space="preserve">      기   계    장   치</t>
        </is>
      </c>
      <c r="B37" s="83">
        <f>IFERROR(INDEX(재무상태표!$B:$B,MATCH($I37,재무상태표!$G:$G,0)),0)</f>
        <v/>
      </c>
      <c r="C37" s="68">
        <f>IFERROR(INDEX(재무상태표!$C:$C,MATCH($I37,재무상태표!$G:$G,0)),0)</f>
        <v/>
      </c>
      <c r="D37" s="85" t="n"/>
      <c r="E37" s="83">
        <f>IFERROR(INDEX(재무상태표!$D:$D,MATCH($I37,재무상태표!$G:$G,0)),0)</f>
        <v/>
      </c>
      <c r="F37" s="68">
        <f>IFERROR(INDEX(재무상태표!$E:$E,MATCH($I37,재무상태표!$G:$G,0)),0)</f>
        <v/>
      </c>
      <c r="G37" s="188">
        <f>C37-F37</f>
        <v/>
      </c>
      <c r="H37" s="71">
        <f>SUBSTITUTE(A37," ","")</f>
        <v/>
      </c>
      <c r="I37" s="71">
        <f>H37&amp;"|"&amp;COUNTIF($H$9:H37,H37)</f>
        <v/>
      </c>
      <c r="J37" s="72">
        <f>IF($A37="","",IF(ISNUMBER(MATCH($I37,재무상태표!$G:$G,0)),"✓ 일치","⚠ 확인필요"))</f>
        <v/>
      </c>
      <c r="K37" s="189">
        <f>IFERROR(IF(F37=0,"",(C37-F37)/ABS(F37)),"")</f>
        <v/>
      </c>
    </row>
    <row r="38" ht="17.25" customHeight="1" s="127">
      <c r="A38" s="67" t="inlineStr">
        <is>
          <t xml:space="preserve">      감가 상각 누 계 액</t>
        </is>
      </c>
      <c r="B38" s="83">
        <f>IFERROR(INDEX(재무상태표!$B:$B,MATCH($I38,재무상태표!$G:$G,0)),0)</f>
        <v/>
      </c>
      <c r="C38" s="83">
        <f>IFERROR(INDEX(재무상태표!$C:$C,MATCH($I38,재무상태표!$G:$G,0)),0)</f>
        <v/>
      </c>
      <c r="D38" s="85" t="n"/>
      <c r="E38" s="83">
        <f>IFERROR(INDEX(재무상태표!$D:$D,MATCH($I38,재무상태표!$G:$G,0)),0)</f>
        <v/>
      </c>
      <c r="F38" s="83">
        <f>IFERROR(INDEX(재무상태표!$E:$E,MATCH($I38,재무상태표!$G:$G,0)),0)</f>
        <v/>
      </c>
      <c r="G38" s="188">
        <f>C38-F38</f>
        <v/>
      </c>
      <c r="H38" s="71">
        <f>SUBSTITUTE(A38," ","")</f>
        <v/>
      </c>
      <c r="I38" s="71">
        <f>H38&amp;"|"&amp;COUNTIF($H$9:H38,H38)</f>
        <v/>
      </c>
      <c r="J38" s="72">
        <f>IF($A38="","",IF(ISNUMBER(MATCH($I38,재무상태표!$G:$G,0)),"✓ 일치","⚠ 확인필요"))</f>
        <v/>
      </c>
      <c r="K38" s="189">
        <f>IFERROR(IF(F38=0,"",(C38-F38)/ABS(F38)),"")</f>
        <v/>
      </c>
    </row>
    <row r="39" ht="17.25" customHeight="1" s="127">
      <c r="A39" s="67" t="inlineStr">
        <is>
          <t xml:space="preserve">      차  량  운  반  구</t>
        </is>
      </c>
      <c r="B39" s="83">
        <f>IFERROR(INDEX(재무상태표!$B:$B,MATCH($I39,재무상태표!$G:$G,0)),0)</f>
        <v/>
      </c>
      <c r="C39" s="68">
        <f>IFERROR(INDEX(재무상태표!$C:$C,MATCH($I39,재무상태표!$G:$G,0)),0)</f>
        <v/>
      </c>
      <c r="D39" s="85" t="n"/>
      <c r="E39" s="83">
        <f>IFERROR(INDEX(재무상태표!$D:$D,MATCH($I39,재무상태표!$G:$G,0)),0)</f>
        <v/>
      </c>
      <c r="F39" s="68">
        <f>IFERROR(INDEX(재무상태표!$E:$E,MATCH($I39,재무상태표!$G:$G,0)),0)</f>
        <v/>
      </c>
      <c r="G39" s="188">
        <f>C39-F39</f>
        <v/>
      </c>
      <c r="H39" s="71">
        <f>SUBSTITUTE(A39," ","")</f>
        <v/>
      </c>
      <c r="I39" s="71">
        <f>H39&amp;"|"&amp;COUNTIF($H$9:H39,H39)</f>
        <v/>
      </c>
      <c r="J39" s="72">
        <f>IF($A39="","",IF(ISNUMBER(MATCH($I39,재무상태표!$G:$G,0)),"✓ 일치","⚠ 확인필요"))</f>
        <v/>
      </c>
      <c r="K39" s="189">
        <f>IFERROR(IF(F39=0,"",(C39-F39)/ABS(F39)),"")</f>
        <v/>
      </c>
    </row>
    <row r="40" ht="17.25" customHeight="1" s="127">
      <c r="A40" s="67" t="inlineStr">
        <is>
          <t xml:space="preserve">      감가 상각 누 계 액</t>
        </is>
      </c>
      <c r="B40" s="83">
        <f>IFERROR(INDEX(재무상태표!$B:$B,MATCH($I40,재무상태표!$G:$G,0)),0)</f>
        <v/>
      </c>
      <c r="C40" s="83">
        <f>IFERROR(INDEX(재무상태표!$C:$C,MATCH($I40,재무상태표!$G:$G,0)),0)</f>
        <v/>
      </c>
      <c r="D40" s="85" t="n"/>
      <c r="E40" s="83">
        <f>IFERROR(INDEX(재무상태표!$D:$D,MATCH($I40,재무상태표!$G:$G,0)),0)</f>
        <v/>
      </c>
      <c r="F40" s="83">
        <f>IFERROR(INDEX(재무상태표!$E:$E,MATCH($I40,재무상태표!$G:$G,0)),0)</f>
        <v/>
      </c>
      <c r="G40" s="188">
        <f>C40-F40</f>
        <v/>
      </c>
      <c r="H40" s="71">
        <f>SUBSTITUTE(A40," ","")</f>
        <v/>
      </c>
      <c r="I40" s="71">
        <f>H40&amp;"|"&amp;COUNTIF($H$9:H40,H40)</f>
        <v/>
      </c>
      <c r="J40" s="72">
        <f>IF($A40="","",IF(ISNUMBER(MATCH($I40,재무상태표!$G:$G,0)),"✓ 일치","⚠ 확인필요"))</f>
        <v/>
      </c>
      <c r="K40" s="189">
        <f>IFERROR(IF(F40=0,"",(C40-F40)/ABS(F40)),"")</f>
        <v/>
      </c>
    </row>
    <row r="41" ht="17.25" customHeight="1" s="127">
      <c r="A41" s="67" t="inlineStr">
        <is>
          <t xml:space="preserve">      비              품</t>
        </is>
      </c>
      <c r="B41" s="83">
        <f>IFERROR(INDEX(재무상태표!$B:$B,MATCH($I41,재무상태표!$G:$G,0)),0)</f>
        <v/>
      </c>
      <c r="C41" s="68">
        <f>IFERROR(INDEX(재무상태표!$C:$C,MATCH($I41,재무상태표!$G:$G,0)),0)</f>
        <v/>
      </c>
      <c r="D41" s="85" t="n"/>
      <c r="E41" s="83">
        <f>IFERROR(INDEX(재무상태표!$D:$D,MATCH($I41,재무상태표!$G:$G,0)),0)</f>
        <v/>
      </c>
      <c r="F41" s="68">
        <f>IFERROR(INDEX(재무상태표!$E:$E,MATCH($I41,재무상태표!$G:$G,0)),0)</f>
        <v/>
      </c>
      <c r="G41" s="188">
        <f>C41-F41</f>
        <v/>
      </c>
      <c r="H41" s="71">
        <f>SUBSTITUTE(A41," ","")</f>
        <v/>
      </c>
      <c r="I41" s="71">
        <f>H41&amp;"|"&amp;COUNTIF($H$9:H41,H41)</f>
        <v/>
      </c>
      <c r="J41" s="72">
        <f>IF($A41="","",IF(ISNUMBER(MATCH($I41,재무상태표!$G:$G,0)),"✓ 일치","⚠ 확인필요"))</f>
        <v/>
      </c>
      <c r="K41" s="189">
        <f>IFERROR(IF(F41=0,"",(C41-F41)/ABS(F41)),"")</f>
        <v/>
      </c>
    </row>
    <row r="42" ht="17.25" customHeight="1" s="127">
      <c r="A42" s="67" t="inlineStr">
        <is>
          <t xml:space="preserve">      감가 상각 누 계 액</t>
        </is>
      </c>
      <c r="B42" s="83">
        <f>IFERROR(INDEX(재무상태표!$B:$B,MATCH($I42,재무상태표!$G:$G,0)),0)</f>
        <v/>
      </c>
      <c r="C42" s="83">
        <f>IFERROR(INDEX(재무상태표!$C:$C,MATCH($I42,재무상태표!$G:$G,0)),0)</f>
        <v/>
      </c>
      <c r="D42" s="85" t="n"/>
      <c r="E42" s="83">
        <f>IFERROR(INDEX(재무상태표!$D:$D,MATCH($I42,재무상태표!$G:$G,0)),0)</f>
        <v/>
      </c>
      <c r="F42" s="83">
        <f>IFERROR(INDEX(재무상태표!$E:$E,MATCH($I42,재무상태표!$G:$G,0)),0)</f>
        <v/>
      </c>
      <c r="G42" s="188">
        <f>C42-F42</f>
        <v/>
      </c>
      <c r="H42" s="71">
        <f>SUBSTITUTE(A42," ","")</f>
        <v/>
      </c>
      <c r="I42" s="71">
        <f>H42&amp;"|"&amp;COUNTIF($H$9:H42,H42)</f>
        <v/>
      </c>
      <c r="J42" s="72">
        <f>IF($A42="","",IF(ISNUMBER(MATCH($I42,재무상태표!$G:$G,0)),"✓ 일치","⚠ 확인필요"))</f>
        <v/>
      </c>
      <c r="K42" s="189">
        <f>IFERROR(IF(F42=0,"",(C42-F42)/ABS(F42)),"")</f>
        <v/>
      </c>
    </row>
    <row r="43" ht="17.25" customHeight="1" s="127">
      <c r="A43" s="82" t="inlineStr">
        <is>
          <t xml:space="preserve"> (3) 무  형    자  산 </t>
        </is>
      </c>
      <c r="B43" s="68">
        <f>IFERROR(INDEX(재무상태표!$B:$B,MATCH($I43,재무상태표!$G:$G,0)),0)</f>
        <v/>
      </c>
      <c r="C43" s="68">
        <f>IFERROR(INDEX(재무상태표!$C:$C,MATCH($I43,재무상태표!$G:$G,0)),0)</f>
        <v/>
      </c>
      <c r="D43" s="85" t="n"/>
      <c r="E43" s="68">
        <f>IFERROR(INDEX(재무상태표!$D:$D,MATCH($I43,재무상태표!$G:$G,0)),0)</f>
        <v/>
      </c>
      <c r="F43" s="68">
        <f>IFERROR(INDEX(재무상태표!$E:$E,MATCH($I43,재무상태표!$G:$G,0)),0)</f>
        <v/>
      </c>
      <c r="G43" s="188">
        <f>C43-F43</f>
        <v/>
      </c>
      <c r="H43" s="71">
        <f>SUBSTITUTE(A43," ","")</f>
        <v/>
      </c>
      <c r="I43" s="71">
        <f>H43&amp;"|"&amp;COUNTIF($H$9:H43,H43)</f>
        <v/>
      </c>
      <c r="J43" s="72">
        <f>IF($A43="","",IF(ISNUMBER(MATCH($I43,재무상태표!$G:$G,0)),"✓ 일치","⚠ 확인필요"))</f>
        <v/>
      </c>
      <c r="K43" s="189">
        <f>IFERROR(IF(F43=0,"",(C43-F43)/ABS(F43)),"")</f>
        <v/>
      </c>
    </row>
    <row r="44" ht="17.25" customHeight="1" s="127">
      <c r="A44" s="82" t="inlineStr">
        <is>
          <t xml:space="preserve"> (4) 기타  비유동자산  </t>
        </is>
      </c>
      <c r="B44" s="68">
        <f>IFERROR(INDEX(재무상태표!$B:$B,MATCH($I44,재무상태표!$G:$G,0)),0)</f>
        <v/>
      </c>
      <c r="C44" s="83">
        <f>IFERROR(INDEX(재무상태표!$C:$C,MATCH($I44,재무상태표!$G:$G,0)),0)</f>
        <v/>
      </c>
      <c r="D44" s="85" t="n"/>
      <c r="E44" s="68">
        <f>IFERROR(INDEX(재무상태표!$D:$D,MATCH($I44,재무상태표!$G:$G,0)),0)</f>
        <v/>
      </c>
      <c r="F44" s="83">
        <f>IFERROR(INDEX(재무상태표!$E:$E,MATCH($I44,재무상태표!$G:$G,0)),0)</f>
        <v/>
      </c>
      <c r="G44" s="188">
        <f>C44-F44</f>
        <v/>
      </c>
      <c r="H44" s="71">
        <f>SUBSTITUTE(A44," ","")</f>
        <v/>
      </c>
      <c r="I44" s="71">
        <f>H44&amp;"|"&amp;COUNTIF($H$9:H44,H44)</f>
        <v/>
      </c>
      <c r="J44" s="72">
        <f>IF($A44="","",IF(ISNUMBER(MATCH($I44,재무상태표!$G:$G,0)),"✓ 일치","⚠ 확인필요"))</f>
        <v/>
      </c>
      <c r="K44" s="189">
        <f>IFERROR(IF(F44=0,"",(C44-F44)/ABS(F44)),"")</f>
        <v/>
      </c>
    </row>
    <row r="45" ht="21.75" customHeight="1" s="127">
      <c r="A45" s="67" t="inlineStr">
        <is>
          <t xml:space="preserve">      장 기 외 상 매출금</t>
        </is>
      </c>
      <c r="B45" s="68">
        <f>IFERROR(INDEX(재무상태표!$B:$B,MATCH($I45,재무상태표!$G:$G,0)),0)</f>
        <v/>
      </c>
      <c r="C45" s="68">
        <f>IFERROR(INDEX(재무상태표!$C:$C,MATCH($I45,재무상태표!$G:$G,0)),0)</f>
        <v/>
      </c>
      <c r="D45" s="85" t="n"/>
      <c r="E45" s="68">
        <f>IFERROR(INDEX(재무상태표!$D:$D,MATCH($I45,재무상태표!$G:$G,0)),0)</f>
        <v/>
      </c>
      <c r="F45" s="68">
        <f>IFERROR(INDEX(재무상태표!$E:$E,MATCH($I45,재무상태표!$G:$G,0)),0)</f>
        <v/>
      </c>
      <c r="G45" s="188">
        <f>C45-F45</f>
        <v/>
      </c>
      <c r="H45" s="71">
        <f>SUBSTITUTE(A45," ","")</f>
        <v/>
      </c>
      <c r="I45" s="71">
        <f>H45&amp;"|"&amp;COUNTIF($H$9:H45,H45)</f>
        <v/>
      </c>
      <c r="J45" s="72">
        <f>IF($A45="","",IF(ISNUMBER(MATCH($I45,재무상태표!$G:$G,0)),"✓ 일치","⚠ 확인필요"))</f>
        <v/>
      </c>
      <c r="K45" s="189">
        <f>IFERROR(IF(F45=0,"",(C45-F45)/ABS(F45)),"")</f>
        <v/>
      </c>
    </row>
    <row r="46" ht="21.75" customHeight="1" s="127">
      <c r="A46" s="67" t="inlineStr">
        <is>
          <t xml:space="preserve">      대  손  충  당  금</t>
        </is>
      </c>
      <c r="B46" s="68">
        <f>IFERROR(INDEX(재무상태표!$B:$B,MATCH($I46,재무상태표!$G:$G,0)),0)</f>
        <v/>
      </c>
      <c r="C46" s="68">
        <f>IFERROR(INDEX(재무상태표!$C:$C,MATCH($I46,재무상태표!$G:$G,0)),0)</f>
        <v/>
      </c>
      <c r="D46" s="85" t="n"/>
      <c r="E46" s="68">
        <f>IFERROR(INDEX(재무상태표!$D:$D,MATCH($I46,재무상태표!$G:$G,0)),0)</f>
        <v/>
      </c>
      <c r="F46" s="68">
        <f>IFERROR(INDEX(재무상태표!$E:$E,MATCH($I46,재무상태표!$G:$G,0)),0)</f>
        <v/>
      </c>
      <c r="G46" s="188">
        <f>C46-F46</f>
        <v/>
      </c>
      <c r="H46" s="71">
        <f>SUBSTITUTE(A46," ","")</f>
        <v/>
      </c>
      <c r="I46" s="71">
        <f>H46&amp;"|"&amp;COUNTIF($H$9:H46,H46)</f>
        <v/>
      </c>
      <c r="J46" s="72">
        <f>IF($A46="","",IF(ISNUMBER(MATCH($I46,재무상태표!$G:$G,0)),"✓ 일치","⚠ 확인필요"))</f>
        <v/>
      </c>
      <c r="K46" s="189">
        <f>IFERROR(IF(F46=0,"",(C46-F46)/ABS(F46)),"")</f>
        <v/>
      </c>
    </row>
    <row r="47" ht="25.5" customHeight="1" s="127">
      <c r="A47" s="67" t="inlineStr">
        <is>
          <t xml:space="preserve">      임  차  보  증  금</t>
        </is>
      </c>
      <c r="B47" s="68">
        <f>IFERROR(INDEX(재무상태표!$B:$B,MATCH($I47,재무상태표!$G:$G,0)),0)</f>
        <v/>
      </c>
      <c r="C47" s="83">
        <f>IFERROR(INDEX(재무상태표!$C:$C,MATCH($I47,재무상태표!$G:$G,0)),0)</f>
        <v/>
      </c>
      <c r="D47" s="85" t="inlineStr">
        <is>
          <t>강북 6천,강서 4.5천,영남 3천,본사 5백만</t>
        </is>
      </c>
      <c r="E47" s="68">
        <f>IFERROR(INDEX(재무상태표!$D:$D,MATCH($I47,재무상태표!$G:$G,0)),0)</f>
        <v/>
      </c>
      <c r="F47" s="83">
        <f>IFERROR(INDEX(재무상태표!$E:$E,MATCH($I47,재무상태표!$G:$G,0)),0)</f>
        <v/>
      </c>
      <c r="G47" s="188">
        <f>C47-F47</f>
        <v/>
      </c>
      <c r="H47" s="71">
        <f>SUBSTITUTE(A47," ","")</f>
        <v/>
      </c>
      <c r="I47" s="71">
        <f>H47&amp;"|"&amp;COUNTIF($H$9:H47,H47)</f>
        <v/>
      </c>
      <c r="J47" s="72">
        <f>IF($A47="","",IF(ISNUMBER(MATCH($I47,재무상태표!$G:$G,0)),"✓ 일치","⚠ 확인필요"))</f>
        <v/>
      </c>
      <c r="K47" s="189">
        <f>IFERROR(IF(F47=0,"",(C47-F47)/ABS(F47)),"")</f>
        <v/>
      </c>
    </row>
    <row r="48" ht="21.75" customHeight="1" s="127">
      <c r="A48" s="67" t="inlineStr">
        <is>
          <t xml:space="preserve">      기  타  보  증  금</t>
        </is>
      </c>
      <c r="B48" s="68">
        <f>IFERROR(INDEX(재무상태표!$B:$B,MATCH($I48,재무상태표!$G:$G,0)),0)</f>
        <v/>
      </c>
      <c r="C48" s="83">
        <f>IFERROR(INDEX(재무상태표!$C:$C,MATCH($I48,재무상태표!$G:$G,0)),0)</f>
        <v/>
      </c>
      <c r="D48" s="85" t="inlineStr">
        <is>
          <t>리조트골프회원권(3건) 외</t>
        </is>
      </c>
      <c r="E48" s="68">
        <f>IFERROR(INDEX(재무상태표!$D:$D,MATCH($I48,재무상태표!$G:$G,0)),0)</f>
        <v/>
      </c>
      <c r="F48" s="83">
        <f>IFERROR(INDEX(재무상태표!$E:$E,MATCH($I48,재무상태표!$G:$G,0)),0)</f>
        <v/>
      </c>
      <c r="G48" s="188">
        <f>C48-F48</f>
        <v/>
      </c>
      <c r="H48" s="71">
        <f>SUBSTITUTE(A48," ","")</f>
        <v/>
      </c>
      <c r="I48" s="71">
        <f>H48&amp;"|"&amp;COUNTIF($H$9:H48,H48)</f>
        <v/>
      </c>
      <c r="J48" s="72">
        <f>IF($A48="","",IF(ISNUMBER(MATCH($I48,재무상태표!$G:$G,0)),"✓ 일치","⚠ 확인필요"))</f>
        <v/>
      </c>
      <c r="K48" s="189">
        <f>IFERROR(IF(F48=0,"",(C48-F48)/ABS(F48)),"")</f>
        <v/>
      </c>
    </row>
    <row r="49" ht="21.75" customHeight="1" s="127">
      <c r="A49" s="67" t="inlineStr">
        <is>
          <t xml:space="preserve">      전신 전화 가 입 권</t>
        </is>
      </c>
      <c r="B49" s="68">
        <f>IFERROR(INDEX(재무상태표!$B:$B,MATCH($I49,재무상태표!$G:$G,0)),0)</f>
        <v/>
      </c>
      <c r="C49" s="83">
        <f>IFERROR(INDEX(재무상태표!$C:$C,MATCH($I49,재무상태표!$G:$G,0)),0)</f>
        <v/>
      </c>
      <c r="D49" s="85" t="n"/>
      <c r="E49" s="68">
        <f>IFERROR(INDEX(재무상태표!$D:$D,MATCH($I49,재무상태표!$G:$G,0)),0)</f>
        <v/>
      </c>
      <c r="F49" s="83">
        <f>IFERROR(INDEX(재무상태표!$E:$E,MATCH($I49,재무상태표!$G:$G,0)),0)</f>
        <v/>
      </c>
      <c r="G49" s="188">
        <f>C49-F49</f>
        <v/>
      </c>
      <c r="H49" s="71">
        <f>SUBSTITUTE(A49," ","")</f>
        <v/>
      </c>
      <c r="I49" s="71">
        <f>H49&amp;"|"&amp;COUNTIF($H$9:H49,H49)</f>
        <v/>
      </c>
      <c r="J49" s="72">
        <f>IF($A49="","",IF(ISNUMBER(MATCH($I49,재무상태표!$G:$G,0)),"✓ 일치","⚠ 확인필요"))</f>
        <v/>
      </c>
      <c r="K49" s="189">
        <f>IFERROR(IF(F49=0,"",(C49-F49)/ABS(F49)),"")</f>
        <v/>
      </c>
    </row>
    <row r="50" ht="21.75" customHeight="1" s="127">
      <c r="A50" s="88" t="inlineStr">
        <is>
          <t>자    산    총    계</t>
        </is>
      </c>
      <c r="B50" s="75">
        <f>IFERROR(INDEX(재무상태표!$B:$B,MATCH($I50,재무상태표!$G:$G,0)),0)</f>
        <v/>
      </c>
      <c r="C50" s="76">
        <f>IFERROR(INDEX(재무상태표!$C:$C,MATCH($I50,재무상태표!$G:$G,0)),0)</f>
        <v/>
      </c>
      <c r="D50" s="89" t="n"/>
      <c r="E50" s="75">
        <f>IFERROR(INDEX(재무상태표!$D:$D,MATCH($I50,재무상태표!$G:$G,0)),0)</f>
        <v/>
      </c>
      <c r="F50" s="76">
        <f>IFERROR(INDEX(재무상태표!$E:$E,MATCH($I50,재무상태표!$G:$G,0)),0)</f>
        <v/>
      </c>
      <c r="G50" s="190">
        <f>C50-F50</f>
        <v/>
      </c>
      <c r="H50" s="79">
        <f>SUBSTITUTE(A50," ","")</f>
        <v/>
      </c>
      <c r="I50" s="79">
        <f>H50&amp;"|"&amp;COUNTIF($H$9:H50,H50)</f>
        <v/>
      </c>
      <c r="J50" s="80">
        <f>IF($A50="","",IF(ISNUMBER(MATCH($I50,재무상태표!$G:$G,0)),"✓ 일치","⚠ 확인필요"))</f>
        <v/>
      </c>
      <c r="K50" s="191">
        <f>IFERROR(IF(F50=0,"",(C50-F50)/ABS(F50)),"")</f>
        <v/>
      </c>
    </row>
    <row r="51" ht="21.75" customHeight="1" s="127">
      <c r="A51" s="67" t="inlineStr">
        <is>
          <t xml:space="preserve"> 부             채 </t>
        </is>
      </c>
      <c r="B51" s="68" t="n"/>
      <c r="C51" s="68" t="n"/>
      <c r="D51" s="84" t="n"/>
      <c r="E51" s="68" t="n"/>
      <c r="F51" s="68" t="n"/>
      <c r="G51" s="188" t="n"/>
      <c r="H51" s="71">
        <f>SUBSTITUTE(A51," ","")</f>
        <v/>
      </c>
      <c r="I51" s="71">
        <f>H51&amp;"|"&amp;COUNTIF($H$9:H51,H51)</f>
        <v/>
      </c>
      <c r="J51" s="72">
        <f>IF($A51="","",IF(ISNUMBER(MATCH($I51,재무상태표!$G:$G,0)),"✓ 일치","⚠ 확인필요"))</f>
        <v/>
      </c>
      <c r="K51" s="189">
        <f>IFERROR(IF(F51=0,"",(C51-F51)/ABS(F51)),"")</f>
        <v/>
      </c>
    </row>
    <row r="52" ht="21.75" customHeight="1" s="127">
      <c r="A52" s="74" t="inlineStr">
        <is>
          <t xml:space="preserve"> Ⅰ. 유  동    부  채  </t>
        </is>
      </c>
      <c r="B52" s="75">
        <f>IFERROR(INDEX(재무상태표!$B:$B,MATCH($I52,재무상태표!$G:$G,0)),0)</f>
        <v/>
      </c>
      <c r="C52" s="76">
        <f>IFERROR(INDEX(재무상태표!$C:$C,MATCH($I52,재무상태표!$G:$G,0)),0)</f>
        <v/>
      </c>
      <c r="D52" s="87" t="n"/>
      <c r="E52" s="75">
        <f>IFERROR(INDEX(재무상태표!$D:$D,MATCH($I52,재무상태표!$G:$G,0)),0)</f>
        <v/>
      </c>
      <c r="F52" s="76">
        <f>IFERROR(INDEX(재무상태표!$E:$E,MATCH($I52,재무상태표!$G:$G,0)),0)</f>
        <v/>
      </c>
      <c r="G52" s="190">
        <f>C52-F52</f>
        <v/>
      </c>
      <c r="H52" s="79">
        <f>SUBSTITUTE(A52," ","")</f>
        <v/>
      </c>
      <c r="I52" s="79">
        <f>H52&amp;"|"&amp;COUNTIF($H$9:H52,H52)</f>
        <v/>
      </c>
      <c r="J52" s="80">
        <f>IF($A52="","",IF(ISNUMBER(MATCH($I52,재무상태표!$G:$G,0)),"✓ 일치","⚠ 확인필요"))</f>
        <v/>
      </c>
      <c r="K52" s="191">
        <f>IFERROR(IF(F52=0,"",(C52-F52)/ABS(F52)),"")</f>
        <v/>
      </c>
    </row>
    <row r="53" ht="21.75" customHeight="1" s="127">
      <c r="A53" s="67" t="inlineStr">
        <is>
          <t xml:space="preserve">      외  상  매  입  금</t>
        </is>
      </c>
      <c r="B53" s="68">
        <f>IFERROR(INDEX(재무상태표!$B:$B,MATCH($I53,재무상태표!$G:$G,0)),0)</f>
        <v/>
      </c>
      <c r="C53" s="83">
        <f>IFERROR(INDEX(재무상태표!$C:$C,MATCH($I53,재무상태표!$G:$G,0)),0)</f>
        <v/>
      </c>
      <c r="D53" s="85" t="n"/>
      <c r="E53" s="68">
        <f>IFERROR(INDEX(재무상태표!$D:$D,MATCH($I53,재무상태표!$G:$G,0)),0)</f>
        <v/>
      </c>
      <c r="F53" s="83">
        <f>IFERROR(INDEX(재무상태표!$E:$E,MATCH($I53,재무상태표!$G:$G,0)),0)</f>
        <v/>
      </c>
      <c r="G53" s="188">
        <f>C53-F53</f>
        <v/>
      </c>
      <c r="H53" s="71">
        <f>SUBSTITUTE(A53," ","")</f>
        <v/>
      </c>
      <c r="I53" s="71">
        <f>H53&amp;"|"&amp;COUNTIF($H$9:H53,H53)</f>
        <v/>
      </c>
      <c r="J53" s="72">
        <f>IF($A53="","",IF(ISNUMBER(MATCH($I53,재무상태표!$G:$G,0)),"✓ 일치","⚠ 확인필요"))</f>
        <v/>
      </c>
      <c r="K53" s="189">
        <f>IFERROR(IF(F53=0,"",(C53-F53)/ABS(F53)),"")</f>
        <v/>
      </c>
    </row>
    <row r="54" ht="21.75" customHeight="1" s="127">
      <c r="A54" s="67" t="inlineStr">
        <is>
          <t xml:space="preserve">      미   지    급   금</t>
        </is>
      </c>
      <c r="B54" s="68">
        <f>IFERROR(INDEX(재무상태표!$B:$B,MATCH($I54,재무상태표!$G:$G,0)),0)</f>
        <v/>
      </c>
      <c r="C54" s="83">
        <f>IFERROR(INDEX(재무상태표!$C:$C,MATCH($I54,재무상태표!$G:$G,0)),0)</f>
        <v/>
      </c>
      <c r="D54" s="85" t="n"/>
      <c r="E54" s="68">
        <f>IFERROR(INDEX(재무상태표!$D:$D,MATCH($I54,재무상태표!$G:$G,0)),0)</f>
        <v/>
      </c>
      <c r="F54" s="83">
        <f>IFERROR(INDEX(재무상태표!$E:$E,MATCH($I54,재무상태표!$G:$G,0)),0)</f>
        <v/>
      </c>
      <c r="G54" s="188">
        <f>C54-F54</f>
        <v/>
      </c>
      <c r="H54" s="71">
        <f>SUBSTITUTE(A54," ","")</f>
        <v/>
      </c>
      <c r="I54" s="71">
        <f>H54&amp;"|"&amp;COUNTIF($H$9:H54,H54)</f>
        <v/>
      </c>
      <c r="J54" s="72">
        <f>IF($A54="","",IF(ISNUMBER(MATCH($I54,재무상태표!$G:$G,0)),"✓ 일치","⚠ 확인필요"))</f>
        <v/>
      </c>
      <c r="K54" s="189">
        <f>IFERROR(IF(F54=0,"",(C54-F54)/ABS(F54)),"")</f>
        <v/>
      </c>
    </row>
    <row r="55" ht="21.75" customHeight="1" s="127">
      <c r="A55" s="67" t="inlineStr">
        <is>
          <t xml:space="preserve">      예      수      금</t>
        </is>
      </c>
      <c r="B55" s="68">
        <f>IFERROR(INDEX(재무상태표!$B:$B,MATCH($I55,재무상태표!$G:$G,0)),0)</f>
        <v/>
      </c>
      <c r="C55" s="83">
        <f>IFERROR(INDEX(재무상태표!$C:$C,MATCH($I55,재무상태표!$G:$G,0)),0)</f>
        <v/>
      </c>
      <c r="D55" s="84" t="inlineStr">
        <is>
          <t>4대보험외 직원공제분</t>
        </is>
      </c>
      <c r="E55" s="68">
        <f>IFERROR(INDEX(재무상태표!$D:$D,MATCH($I55,재무상태표!$G:$G,0)),0)</f>
        <v/>
      </c>
      <c r="F55" s="83">
        <f>IFERROR(INDEX(재무상태표!$E:$E,MATCH($I55,재무상태표!$G:$G,0)),0)</f>
        <v/>
      </c>
      <c r="G55" s="188">
        <f>C55-F55</f>
        <v/>
      </c>
      <c r="H55" s="71">
        <f>SUBSTITUTE(A55," ","")</f>
        <v/>
      </c>
      <c r="I55" s="71">
        <f>H55&amp;"|"&amp;COUNTIF($H$9:H55,H55)</f>
        <v/>
      </c>
      <c r="J55" s="72">
        <f>IF($A55="","",IF(ISNUMBER(MATCH($I55,재무상태표!$G:$G,0)),"✓ 일치","⚠ 확인필요"))</f>
        <v/>
      </c>
      <c r="K55" s="189">
        <f>IFERROR(IF(F55=0,"",(C55-F55)/ABS(F55)),"")</f>
        <v/>
      </c>
    </row>
    <row r="56" ht="21.75" customHeight="1" s="127">
      <c r="A56" s="67" t="inlineStr">
        <is>
          <t xml:space="preserve">      부 가 세 예  수 금</t>
        </is>
      </c>
      <c r="B56" s="68">
        <f>IFERROR(INDEX(재무상태표!$B:$B,MATCH($I56,재무상태표!$G:$G,0)),0)</f>
        <v/>
      </c>
      <c r="C56" s="83">
        <f>IFERROR(INDEX(재무상태표!$C:$C,MATCH($I56,재무상태표!$G:$G,0)),0)</f>
        <v/>
      </c>
      <c r="D56" s="85" t="n"/>
      <c r="E56" s="68">
        <f>IFERROR(INDEX(재무상태표!$D:$D,MATCH($I56,재무상태표!$G:$G,0)),0)</f>
        <v/>
      </c>
      <c r="F56" s="68">
        <f>IFERROR(INDEX(재무상태표!$E:$E,MATCH($I56,재무상태표!$G:$G,0)),0)</f>
        <v/>
      </c>
      <c r="G56" s="188">
        <f>C56-F56</f>
        <v/>
      </c>
      <c r="H56" s="71">
        <f>SUBSTITUTE(A56," ","")</f>
        <v/>
      </c>
      <c r="I56" s="71">
        <f>H56&amp;"|"&amp;COUNTIF($H$9:H56,H56)</f>
        <v/>
      </c>
      <c r="J56" s="72">
        <f>IF($A56="","",IF(ISNUMBER(MATCH($I56,재무상태표!$G:$G,0)),"✓ 일치","⚠ 확인필요"))</f>
        <v/>
      </c>
      <c r="K56" s="189">
        <f>IFERROR(IF(F56=0,"",(C56-F56)/ABS(F56)),"")</f>
        <v/>
      </c>
    </row>
    <row r="57" ht="21.75" customHeight="1" s="127">
      <c r="A57" s="67" t="inlineStr">
        <is>
          <t xml:space="preserve">      가      수      금</t>
        </is>
      </c>
      <c r="B57" s="68">
        <f>IFERROR(INDEX(재무상태표!$B:$B,MATCH($I57,재무상태표!$G:$G,0)),0)</f>
        <v/>
      </c>
      <c r="C57" s="83">
        <f>IFERROR(INDEX(재무상태표!$C:$C,MATCH($I57,재무상태표!$G:$G,0)),0)</f>
        <v/>
      </c>
      <c r="D57" s="85" t="inlineStr">
        <is>
          <t>한국엡손외(연말 결산시 반영)</t>
        </is>
      </c>
      <c r="E57" s="68">
        <f>IFERROR(INDEX(재무상태표!$D:$D,MATCH($I57,재무상태표!$G:$G,0)),0)</f>
        <v/>
      </c>
      <c r="F57" s="68">
        <f>IFERROR(INDEX(재무상태표!$E:$E,MATCH($I57,재무상태표!$G:$G,0)),0)</f>
        <v/>
      </c>
      <c r="G57" s="188">
        <f>C57-F57</f>
        <v/>
      </c>
      <c r="H57" s="71">
        <f>SUBSTITUTE(A57," ","")</f>
        <v/>
      </c>
      <c r="I57" s="71">
        <f>H57&amp;"|"&amp;COUNTIF($H$9:H57,H57)</f>
        <v/>
      </c>
      <c r="J57" s="72">
        <f>IF($A57="","",IF(ISNUMBER(MATCH($I57,재무상태표!$G:$G,0)),"✓ 일치","⚠ 확인필요"))</f>
        <v/>
      </c>
      <c r="K57" s="189">
        <f>IFERROR(IF(F57=0,"",(C57-F57)/ABS(F57)),"")</f>
        <v/>
      </c>
    </row>
    <row r="58" ht="21.75" customHeight="1" s="127">
      <c r="A58" s="67" t="inlineStr">
        <is>
          <t xml:space="preserve">      선      수      금</t>
        </is>
      </c>
      <c r="B58" s="68">
        <f>IFERROR(INDEX(재무상태표!$B:$B,MATCH($I58,재무상태표!$G:$G,0)),0)</f>
        <v/>
      </c>
      <c r="C58" s="83">
        <f>IFERROR(INDEX(재무상태표!$C:$C,MATCH($I58,재무상태표!$G:$G,0)),0)</f>
        <v/>
      </c>
      <c r="D58" s="85" t="n"/>
      <c r="E58" s="68">
        <f>IFERROR(INDEX(재무상태표!$D:$D,MATCH($I58,재무상태표!$G:$G,0)),0)</f>
        <v/>
      </c>
      <c r="F58" s="83">
        <f>IFERROR(INDEX(재무상태표!$E:$E,MATCH($I58,재무상태표!$G:$G,0)),0)</f>
        <v/>
      </c>
      <c r="G58" s="188">
        <f>C58-F58</f>
        <v/>
      </c>
      <c r="H58" s="71">
        <f>SUBSTITUTE(A58," ","")</f>
        <v/>
      </c>
      <c r="I58" s="71">
        <f>H58&amp;"|"&amp;COUNTIF($H$9:H58,H58)</f>
        <v/>
      </c>
      <c r="J58" s="72">
        <f>IF($A58="","",IF(ISNUMBER(MATCH($I58,재무상태표!$G:$G,0)),"✓ 일치","⚠ 확인필요"))</f>
        <v/>
      </c>
      <c r="K58" s="189">
        <f>IFERROR(IF(F58=0,"",(C58-F58)/ABS(F58)),"")</f>
        <v/>
      </c>
    </row>
    <row r="59" ht="21.75" customHeight="1" s="127">
      <c r="A59" s="67" t="inlineStr">
        <is>
          <t xml:space="preserve">      미  지  급  세  금</t>
        </is>
      </c>
      <c r="B59" s="68">
        <f>IFERROR(INDEX(재무상태표!$B:$B,MATCH($I59,재무상태표!$G:$G,0)),0)</f>
        <v/>
      </c>
      <c r="C59" s="83">
        <f>IFERROR(INDEX(재무상태표!$C:$C,MATCH($I59,재무상태표!$G:$G,0)),0)</f>
        <v/>
      </c>
      <c r="D59" s="84" t="n"/>
      <c r="E59" s="68">
        <f>IFERROR(INDEX(재무상태표!$D:$D,MATCH($I59,재무상태표!$G:$G,0)),0)</f>
        <v/>
      </c>
      <c r="F59" s="83">
        <f>IFERROR(INDEX(재무상태표!$E:$E,MATCH($I59,재무상태표!$G:$G,0)),0)</f>
        <v/>
      </c>
      <c r="G59" s="188">
        <f>C59-F59</f>
        <v/>
      </c>
      <c r="H59" s="71">
        <f>SUBSTITUTE(A59," ","")</f>
        <v/>
      </c>
      <c r="I59" s="71">
        <f>H59&amp;"|"&amp;COUNTIF($H$9:H59,H59)</f>
        <v/>
      </c>
      <c r="J59" s="72">
        <f>IF($A59="","",IF(ISNUMBER(MATCH($I59,재무상태표!$G:$G,0)),"✓ 일치","⚠ 확인필요"))</f>
        <v/>
      </c>
      <c r="K59" s="189">
        <f>IFERROR(IF(F59=0,"",(C59-F59)/ABS(F59)),"")</f>
        <v/>
      </c>
    </row>
    <row r="60" ht="21.75" customHeight="1" s="127">
      <c r="A60" s="67" t="inlineStr">
        <is>
          <t xml:space="preserve">      미  지  급  비  용</t>
        </is>
      </c>
      <c r="B60" s="68">
        <f>IFERROR(INDEX(재무상태표!$B:$B,MATCH($I60,재무상태표!$G:$G,0)),0)</f>
        <v/>
      </c>
      <c r="C60" s="83">
        <f>IFERROR(INDEX(재무상태표!$C:$C,MATCH($I60,재무상태표!$G:$G,0)),0)</f>
        <v/>
      </c>
      <c r="D60" s="85" t="inlineStr">
        <is>
          <t>당해 급여외 미지급분</t>
        </is>
      </c>
      <c r="E60" s="68">
        <f>IFERROR(INDEX(재무상태표!$D:$D,MATCH($I60,재무상태표!$G:$G,0)),0)</f>
        <v/>
      </c>
      <c r="F60" s="83">
        <f>IFERROR(INDEX(재무상태표!$E:$E,MATCH($I60,재무상태표!$G:$G,0)),0)</f>
        <v/>
      </c>
      <c r="G60" s="188">
        <f>C60-F60</f>
        <v/>
      </c>
      <c r="H60" s="71">
        <f>SUBSTITUTE(A60," ","")</f>
        <v/>
      </c>
      <c r="I60" s="71">
        <f>H60&amp;"|"&amp;COUNTIF($H$9:H60,H60)</f>
        <v/>
      </c>
      <c r="J60" s="72">
        <f>IF($A60="","",IF(ISNUMBER(MATCH($I60,재무상태표!$G:$G,0)),"✓ 일치","⚠ 확인필요"))</f>
        <v/>
      </c>
      <c r="K60" s="189">
        <f>IFERROR(IF(F60=0,"",(C60-F60)/ABS(F60)),"")</f>
        <v/>
      </c>
    </row>
    <row r="61" ht="21.75" customHeight="1" s="127">
      <c r="A61" s="67" t="inlineStr">
        <is>
          <t xml:space="preserve">      미 지 급  배 당 금</t>
        </is>
      </c>
      <c r="B61" s="68">
        <f>IFERROR(INDEX(재무상태표!$B:$B,MATCH($I61,재무상태표!$G:$G,0)),0)</f>
        <v/>
      </c>
      <c r="C61" s="68">
        <f>IFERROR(INDEX(재무상태표!$C:$C,MATCH($I61,재무상태표!$G:$G,0)),0)</f>
        <v/>
      </c>
      <c r="D61" s="84" t="n"/>
      <c r="E61" s="68">
        <f>IFERROR(INDEX(재무상태표!$D:$D,MATCH($I61,재무상태표!$G:$G,0)),0)</f>
        <v/>
      </c>
      <c r="F61" s="68">
        <f>IFERROR(INDEX(재무상태표!$E:$E,MATCH($I61,재무상태표!$G:$G,0)),0)</f>
        <v/>
      </c>
      <c r="G61" s="188">
        <f>C61-F61</f>
        <v/>
      </c>
      <c r="H61" s="71">
        <f>SUBSTITUTE(A61," ","")</f>
        <v/>
      </c>
      <c r="I61" s="71">
        <f>H61&amp;"|"&amp;COUNTIF($H$9:H61,H61)</f>
        <v/>
      </c>
      <c r="J61" s="72">
        <f>IF($A61="","",IF(ISNUMBER(MATCH($I61,재무상태표!$G:$G,0)),"✓ 일치","⚠ 확인필요"))</f>
        <v/>
      </c>
      <c r="K61" s="189">
        <f>IFERROR(IF(F61=0,"",(C61-F61)/ABS(F61)),"")</f>
        <v/>
      </c>
    </row>
    <row r="62" ht="21.75" customHeight="1" s="127">
      <c r="A62" s="74" t="inlineStr">
        <is>
          <t xml:space="preserve"> Ⅱ. 비  유  동  부  채  </t>
        </is>
      </c>
      <c r="B62" s="75">
        <f>IFERROR(INDEX(재무상태표!$B:$B,MATCH($I62,재무상태표!$G:$G,0)),0)</f>
        <v/>
      </c>
      <c r="C62" s="76">
        <f>IFERROR(INDEX(재무상태표!$C:$C,MATCH($I62,재무상태표!$G:$G,0)),0)</f>
        <v/>
      </c>
      <c r="D62" s="89" t="n"/>
      <c r="E62" s="75">
        <f>IFERROR(INDEX(재무상태표!$D:$D,MATCH($I62,재무상태표!$G:$G,0)),0)</f>
        <v/>
      </c>
      <c r="F62" s="76">
        <f>IFERROR(INDEX(재무상태표!$E:$E,MATCH($I62,재무상태표!$G:$G,0)),0)</f>
        <v/>
      </c>
      <c r="G62" s="190">
        <f>C62-F62</f>
        <v/>
      </c>
      <c r="H62" s="79">
        <f>SUBSTITUTE(A62," ","")</f>
        <v/>
      </c>
      <c r="I62" s="79">
        <f>H62&amp;"|"&amp;COUNTIF($H$9:H62,H62)</f>
        <v/>
      </c>
      <c r="J62" s="80">
        <f>IF($A62="","",IF(ISNUMBER(MATCH($I62,재무상태표!$G:$G,0)),"✓ 일치","⚠ 확인필요"))</f>
        <v/>
      </c>
      <c r="K62" s="191">
        <f>IFERROR(IF(F62=0,"",(C62-F62)/ABS(F62)),"")</f>
        <v/>
      </c>
    </row>
    <row r="63" ht="21.75" customHeight="1" s="127">
      <c r="A63" s="67" t="inlineStr">
        <is>
          <t xml:space="preserve">      퇴직 급여 충 당 금</t>
        </is>
      </c>
      <c r="B63" s="68">
        <f>IFERROR(INDEX(재무상태표!$B:$B,MATCH($I63,재무상태표!$G:$G,0)),0)</f>
        <v/>
      </c>
      <c r="C63" s="83">
        <f>IFERROR(INDEX(재무상태표!$C:$C,MATCH($I63,재무상태표!$G:$G,0)),0)</f>
        <v/>
      </c>
      <c r="D63" s="85" t="n"/>
      <c r="E63" s="68">
        <f>IFERROR(INDEX(재무상태표!$D:$D,MATCH($I63,재무상태표!$G:$G,0)),0)</f>
        <v/>
      </c>
      <c r="F63" s="83">
        <f>IFERROR(INDEX(재무상태표!$E:$E,MATCH($I63,재무상태표!$G:$G,0)),0)</f>
        <v/>
      </c>
      <c r="G63" s="188">
        <f>C63-F63</f>
        <v/>
      </c>
      <c r="H63" s="71">
        <f>SUBSTITUTE(A63," ","")</f>
        <v/>
      </c>
      <c r="I63" s="85">
        <f>H63&amp;"|"&amp;COUNTIF($H$9:H63,H63)</f>
        <v/>
      </c>
      <c r="J63" s="72">
        <f>IF($A63="","",IF(ISNUMBER(MATCH($I63,재무상태표!$G:$G,0)),"✓ 일치","⚠ 확인필요"))</f>
        <v/>
      </c>
      <c r="K63" s="189">
        <f>IFERROR(IF(F63=0,"",(C63-F63)/ABS(F63)),"")</f>
        <v/>
      </c>
    </row>
    <row r="64" ht="21.75" customHeight="1" s="127">
      <c r="A64" s="67" t="inlineStr">
        <is>
          <t xml:space="preserve">      국민 연금 전 환 금</t>
        </is>
      </c>
      <c r="B64" s="68">
        <f>IFERROR(INDEX(재무상태표!$B:$B,MATCH($I64,재무상태표!$G:$G,0)),0)</f>
        <v/>
      </c>
      <c r="C64" s="83">
        <f>IFERROR(INDEX(재무상태표!$C:$C,MATCH($I64,재무상태표!$G:$G,0)),0)</f>
        <v/>
      </c>
      <c r="D64" s="85" t="n"/>
      <c r="E64" s="68">
        <f>IFERROR(INDEX(재무상태표!$D:$D,MATCH($I64,재무상태표!$G:$G,0)),0)</f>
        <v/>
      </c>
      <c r="F64" s="83">
        <f>IFERROR(INDEX(재무상태표!$E:$E,MATCH($I64,재무상태표!$G:$G,0)),0)</f>
        <v/>
      </c>
      <c r="G64" s="188">
        <f>C64-F64</f>
        <v/>
      </c>
      <c r="H64" s="71">
        <f>SUBSTITUTE(A64," ","")</f>
        <v/>
      </c>
      <c r="I64" s="71">
        <f>H64&amp;"|"&amp;COUNTIF($H$9:H64,H64)</f>
        <v/>
      </c>
      <c r="J64" s="72">
        <f>IF($A64="","",IF(ISNUMBER(MATCH($I64,재무상태표!$G:$G,0)),"✓ 일치","⚠ 확인필요"))</f>
        <v/>
      </c>
      <c r="K64" s="189">
        <f>IFERROR(IF(F64=0,"",(C64-F64)/ABS(F64)),"")</f>
        <v/>
      </c>
    </row>
    <row r="65" ht="21.75" customHeight="1" s="127">
      <c r="A65" s="88" t="inlineStr">
        <is>
          <t>부    채    총    계</t>
        </is>
      </c>
      <c r="B65" s="75">
        <f>IFERROR(INDEX(재무상태표!$B:$B,MATCH($I65,재무상태표!$G:$G,0)),0)</f>
        <v/>
      </c>
      <c r="C65" s="76">
        <f>IFERROR(INDEX(재무상태표!$C:$C,MATCH($I65,재무상태표!$G:$G,0)),0)</f>
        <v/>
      </c>
      <c r="D65" s="89" t="n"/>
      <c r="E65" s="75">
        <f>IFERROR(INDEX(재무상태표!$D:$D,MATCH($I65,재무상태표!$G:$G,0)),0)</f>
        <v/>
      </c>
      <c r="F65" s="76">
        <f>IFERROR(INDEX(재무상태표!$E:$E,MATCH($I65,재무상태표!$G:$G,0)),0)</f>
        <v/>
      </c>
      <c r="G65" s="190">
        <f>C65-F65</f>
        <v/>
      </c>
      <c r="H65" s="79">
        <f>SUBSTITUTE(A65," ","")</f>
        <v/>
      </c>
      <c r="I65" s="79">
        <f>H65&amp;"|"&amp;COUNTIF($H$9:H65,H65)</f>
        <v/>
      </c>
      <c r="J65" s="80">
        <f>IF($A65="","",IF(ISNUMBER(MATCH($I65,재무상태표!$G:$G,0)),"✓ 일치","⚠ 확인필요"))</f>
        <v/>
      </c>
      <c r="K65" s="191">
        <f>IFERROR(IF(F65=0,"",(C65-F65)/ABS(F65)),"")</f>
        <v/>
      </c>
    </row>
    <row r="66" ht="21.75" customHeight="1" s="127">
      <c r="A66" s="67" t="inlineStr">
        <is>
          <t xml:space="preserve"> 자             본 </t>
        </is>
      </c>
      <c r="B66" s="68" t="n"/>
      <c r="C66" s="68" t="n"/>
      <c r="D66" s="84" t="n"/>
      <c r="E66" s="68" t="n"/>
      <c r="F66" s="68" t="n"/>
      <c r="G66" s="188" t="n"/>
      <c r="H66" s="71">
        <f>SUBSTITUTE(A66," ","")</f>
        <v/>
      </c>
      <c r="I66" s="71">
        <f>H66&amp;"|"&amp;COUNTIF($H$9:H66,H66)</f>
        <v/>
      </c>
      <c r="J66" s="72">
        <f>IF($A66="","",IF(ISNUMBER(MATCH($I66,재무상태표!$G:$G,0)),"✓ 일치","⚠ 확인필요"))</f>
        <v/>
      </c>
      <c r="K66" s="189">
        <f>IFERROR(IF(F66=0,"",(C66-F66)/ABS(F66)),"")</f>
        <v/>
      </c>
    </row>
    <row r="67" ht="21.75" customHeight="1" s="127">
      <c r="A67" s="74" t="inlineStr">
        <is>
          <t xml:space="preserve"> Ⅰ. 자      본      금  </t>
        </is>
      </c>
      <c r="B67" s="75">
        <f>IFERROR(INDEX(재무상태표!$B:$B,MATCH($I67,재무상태표!$G:$G,0)),0)</f>
        <v/>
      </c>
      <c r="C67" s="76">
        <f>IFERROR(INDEX(재무상태표!$C:$C,MATCH($I67,재무상태표!$G:$G,0)),0)</f>
        <v/>
      </c>
      <c r="D67" s="87" t="n"/>
      <c r="E67" s="75">
        <f>IFERROR(INDEX(재무상태표!$D:$D,MATCH($I67,재무상태표!$G:$G,0)),0)</f>
        <v/>
      </c>
      <c r="F67" s="76">
        <f>IFERROR(INDEX(재무상태표!$E:$E,MATCH($I67,재무상태표!$G:$G,0)),0)</f>
        <v/>
      </c>
      <c r="G67" s="190">
        <f>C67-F67</f>
        <v/>
      </c>
      <c r="H67" s="79">
        <f>SUBSTITUTE(A67," ","")</f>
        <v/>
      </c>
      <c r="I67" s="79">
        <f>H67&amp;"|"&amp;COUNTIF($H$9:H67,H67)</f>
        <v/>
      </c>
      <c r="J67" s="80">
        <f>IF($A67="","",IF(ISNUMBER(MATCH($I67,재무상태표!$G:$G,0)),"✓ 일치","⚠ 확인필요"))</f>
        <v/>
      </c>
      <c r="K67" s="191">
        <f>IFERROR(IF(F67=0,"",(C67-F67)/ABS(F67)),"")</f>
        <v/>
      </c>
    </row>
    <row r="68" ht="21.75" customHeight="1" s="127">
      <c r="A68" s="67" t="inlineStr">
        <is>
          <t xml:space="preserve">      자     본       금</t>
        </is>
      </c>
      <c r="B68" s="68">
        <f>IFERROR(INDEX(재무상태표!$B:$B,MATCH($I68,재무상태표!$G:$G,0)),0)</f>
        <v/>
      </c>
      <c r="C68" s="83">
        <f>IFERROR(INDEX(재무상태표!$C:$C,MATCH($I68,재무상태표!$G:$G,0)),0)</f>
        <v/>
      </c>
      <c r="D68" s="85" t="n"/>
      <c r="E68" s="68">
        <f>IFERROR(INDEX(재무상태표!$D:$D,MATCH($I68,재무상태표!$G:$G,0)),0)</f>
        <v/>
      </c>
      <c r="F68" s="83">
        <f>IFERROR(INDEX(재무상태표!$E:$E,MATCH($I68,재무상태표!$G:$G,0)),0)</f>
        <v/>
      </c>
      <c r="G68" s="188">
        <f>C68-F68</f>
        <v/>
      </c>
      <c r="H68" s="71">
        <f>SUBSTITUTE(A68," ","")</f>
        <v/>
      </c>
      <c r="I68" s="71">
        <f>H68&amp;"|"&amp;COUNTIF($H$9:H68,H68)</f>
        <v/>
      </c>
      <c r="J68" s="72">
        <f>IF($A68="","",IF(ISNUMBER(MATCH($I68,재무상태표!$G:$G,0)),"✓ 일치","⚠ 확인필요"))</f>
        <v/>
      </c>
      <c r="K68" s="189">
        <f>IFERROR(IF(F68=0,"",(C68-F68)/ABS(F68)),"")</f>
        <v/>
      </c>
    </row>
    <row r="69" ht="21.75" customHeight="1" s="127">
      <c r="A69" s="74" t="inlineStr">
        <is>
          <t xml:space="preserve"> Ⅱ. 자  본  잉  여  금  </t>
        </is>
      </c>
      <c r="B69" s="75">
        <f>IFERROR(INDEX(재무상태표!$B:$B,MATCH($I69,재무상태표!$G:$G,0)),0)</f>
        <v/>
      </c>
      <c r="C69" s="76">
        <f>IFERROR(INDEX(재무상태표!$C:$C,MATCH($I69,재무상태표!$G:$G,0)),0)</f>
        <v/>
      </c>
      <c r="D69" s="87" t="n"/>
      <c r="E69" s="75">
        <f>IFERROR(INDEX(재무상태표!$D:$D,MATCH($I69,재무상태표!$G:$G,0)),0)</f>
        <v/>
      </c>
      <c r="F69" s="76">
        <f>IFERROR(INDEX(재무상태표!$E:$E,MATCH($I69,재무상태표!$G:$G,0)),0)</f>
        <v/>
      </c>
      <c r="G69" s="190">
        <f>C69-F69</f>
        <v/>
      </c>
      <c r="H69" s="79">
        <f>SUBSTITUTE(A69," ","")</f>
        <v/>
      </c>
      <c r="I69" s="79">
        <f>H69&amp;"|"&amp;COUNTIF($H$9:H69,H69)</f>
        <v/>
      </c>
      <c r="J69" s="80">
        <f>IF($A69="","",IF(ISNUMBER(MATCH($I69,재무상태표!$G:$G,0)),"✓ 일치","⚠ 확인필요"))</f>
        <v/>
      </c>
      <c r="K69" s="191">
        <f>IFERROR(IF(F69=0,"",(C69-F69)/ABS(F69)),"")</f>
        <v/>
      </c>
    </row>
    <row r="70" ht="21.75" customHeight="1" s="127">
      <c r="A70" s="67" t="inlineStr">
        <is>
          <t xml:space="preserve">      주식 발행 초 과 금</t>
        </is>
      </c>
      <c r="B70" s="68">
        <f>IFERROR(INDEX(재무상태표!$B:$B,MATCH($I70,재무상태표!$G:$G,0)),0)</f>
        <v/>
      </c>
      <c r="C70" s="83">
        <f>IFERROR(INDEX(재무상태표!$C:$C,MATCH($I70,재무상태표!$G:$G,0)),0)</f>
        <v/>
      </c>
      <c r="D70" s="85" t="n"/>
      <c r="E70" s="68">
        <f>IFERROR(INDEX(재무상태표!$D:$D,MATCH($I70,재무상태표!$G:$G,0)),0)</f>
        <v/>
      </c>
      <c r="F70" s="83">
        <f>IFERROR(INDEX(재무상태표!$E:$E,MATCH($I70,재무상태표!$G:$G,0)),0)</f>
        <v/>
      </c>
      <c r="G70" s="188">
        <f>C70-F70</f>
        <v/>
      </c>
      <c r="H70" s="71">
        <f>SUBSTITUTE(A70," ","")</f>
        <v/>
      </c>
      <c r="I70" s="71">
        <f>H70&amp;"|"&amp;COUNTIF($H$9:H70,H70)</f>
        <v/>
      </c>
      <c r="J70" s="72">
        <f>IF($A70="","",IF(ISNUMBER(MATCH($I70,재무상태표!$G:$G,0)),"✓ 일치","⚠ 확인필요"))</f>
        <v/>
      </c>
      <c r="K70" s="189">
        <f>IFERROR(IF(F70=0,"",(C70-F70)/ABS(F70)),"")</f>
        <v/>
      </c>
    </row>
    <row r="71" ht="21.75" customHeight="1" s="127">
      <c r="A71" s="74" t="inlineStr">
        <is>
          <t xml:space="preserve"> Ⅲ. 자   본    조   정  </t>
        </is>
      </c>
      <c r="B71" s="75">
        <f>IFERROR(INDEX(재무상태표!$B:$B,MATCH($I71,재무상태표!$G:$G,0)),0)</f>
        <v/>
      </c>
      <c r="C71" s="75">
        <f>IFERROR(INDEX(재무상태표!$C:$C,MATCH($I71,재무상태표!$G:$G,0)),0)</f>
        <v/>
      </c>
      <c r="D71" s="87" t="n"/>
      <c r="E71" s="75">
        <f>IFERROR(INDEX(재무상태표!$D:$D,MATCH($I71,재무상태표!$G:$G,0)),0)</f>
        <v/>
      </c>
      <c r="F71" s="75">
        <f>IFERROR(INDEX(재무상태표!$E:$E,MATCH($I71,재무상태표!$G:$G,0)),0)</f>
        <v/>
      </c>
      <c r="G71" s="190">
        <f>C71-F71</f>
        <v/>
      </c>
      <c r="H71" s="79">
        <f>SUBSTITUTE(A71," ","")</f>
        <v/>
      </c>
      <c r="I71" s="79">
        <f>H71&amp;"|"&amp;COUNTIF($H$9:H71,H71)</f>
        <v/>
      </c>
      <c r="J71" s="80">
        <f>IF($A71="","",IF(ISNUMBER(MATCH($I71,재무상태표!$G:$G,0)),"✓ 일치","⚠ 확인필요"))</f>
        <v/>
      </c>
      <c r="K71" s="191">
        <f>IFERROR(IF(F71=0,"",(C71-F71)/ABS(F71)),"")</f>
        <v/>
      </c>
    </row>
    <row r="72" ht="21.75" customHeight="1" s="127">
      <c r="A72" s="74" t="inlineStr">
        <is>
          <t xml:space="preserve"> Ⅳ. 기타포괄손익누계액  </t>
        </is>
      </c>
      <c r="B72" s="75">
        <f>IFERROR(INDEX(재무상태표!$B:$B,MATCH($I72,재무상태표!$G:$G,0)),0)</f>
        <v/>
      </c>
      <c r="C72" s="75">
        <f>IFERROR(INDEX(재무상태표!$C:$C,MATCH($I72,재무상태표!$G:$G,0)),0)</f>
        <v/>
      </c>
      <c r="D72" s="87" t="n"/>
      <c r="E72" s="75">
        <f>IFERROR(INDEX(재무상태표!$D:$D,MATCH($I72,재무상태표!$G:$G,0)),0)</f>
        <v/>
      </c>
      <c r="F72" s="75">
        <f>IFERROR(INDEX(재무상태표!$E:$E,MATCH($I72,재무상태표!$G:$G,0)),0)</f>
        <v/>
      </c>
      <c r="G72" s="190">
        <f>C72-F72</f>
        <v/>
      </c>
      <c r="H72" s="79">
        <f>SUBSTITUTE(A72," ","")</f>
        <v/>
      </c>
      <c r="I72" s="79">
        <f>H72&amp;"|"&amp;COUNTIF($H$9:H72,H72)</f>
        <v/>
      </c>
      <c r="J72" s="80">
        <f>IF($A72="","",IF(ISNUMBER(MATCH($I72,재무상태표!$G:$G,0)),"✓ 일치","⚠ 확인필요"))</f>
        <v/>
      </c>
      <c r="K72" s="191">
        <f>IFERROR(IF(F72=0,"",(C72-F72)/ABS(F72)),"")</f>
        <v/>
      </c>
    </row>
    <row r="73" ht="21.75" customHeight="1" s="127">
      <c r="A73" s="74" t="inlineStr">
        <is>
          <t xml:space="preserve"> Ⅴ. 이  익  잉  여  금  </t>
        </is>
      </c>
      <c r="B73" s="75">
        <f>IFERROR(INDEX(재무상태표!$B:$B,MATCH($I73,재무상태표!$G:$G,0)),0)</f>
        <v/>
      </c>
      <c r="C73" s="76">
        <f>IFERROR(INDEX(재무상태표!$C:$C,MATCH($I73,재무상태표!$G:$G,0)),0)</f>
        <v/>
      </c>
      <c r="D73" s="87" t="n"/>
      <c r="E73" s="75">
        <f>IFERROR(INDEX(재무상태표!$D:$D,MATCH($I73,재무상태표!$G:$G,0)),0)</f>
        <v/>
      </c>
      <c r="F73" s="76">
        <f>IFERROR(INDEX(재무상태표!$E:$E,MATCH($I73,재무상태표!$G:$G,0)),0)</f>
        <v/>
      </c>
      <c r="G73" s="190">
        <f>C73-F73</f>
        <v/>
      </c>
      <c r="H73" s="79">
        <f>SUBSTITUTE(A73," ","")</f>
        <v/>
      </c>
      <c r="I73" s="79">
        <f>H73&amp;"|"&amp;COUNTIF($H$9:H73,H73)</f>
        <v/>
      </c>
      <c r="J73" s="80">
        <f>IF($A73="","",IF(ISNUMBER(MATCH($I73,재무상태표!$G:$G,0)),"✓ 일치","⚠ 확인필요"))</f>
        <v/>
      </c>
      <c r="K73" s="191">
        <f>IFERROR(IF(F73=0,"",(C73-F73)/ABS(F73)),"")</f>
        <v/>
      </c>
    </row>
    <row r="74" ht="21.75" customHeight="1" s="127">
      <c r="A74" s="67" t="inlineStr">
        <is>
          <t xml:space="preserve">      이  익  준  비  금</t>
        </is>
      </c>
      <c r="B74" s="68">
        <f>IFERROR(INDEX(재무상태표!$B:$B,MATCH($I74,재무상태표!$G:$G,0)),0)</f>
        <v/>
      </c>
      <c r="C74" s="83">
        <f>IFERROR(INDEX(재무상태표!$C:$C,MATCH($I74,재무상태표!$G:$G,0)),0)</f>
        <v/>
      </c>
      <c r="D74" s="85" t="n"/>
      <c r="E74" s="68">
        <f>IFERROR(INDEX(재무상태표!$D:$D,MATCH($I74,재무상태표!$G:$G,0)),0)</f>
        <v/>
      </c>
      <c r="F74" s="83">
        <f>IFERROR(INDEX(재무상태표!$E:$E,MATCH($I74,재무상태표!$G:$G,0)),0)</f>
        <v/>
      </c>
      <c r="G74" s="188">
        <f>C74-F74</f>
        <v/>
      </c>
      <c r="H74" s="71">
        <f>SUBSTITUTE(A74," ","")</f>
        <v/>
      </c>
      <c r="I74" s="71">
        <f>H74&amp;"|"&amp;COUNTIF($H$9:H74,H74)</f>
        <v/>
      </c>
      <c r="J74" s="72">
        <f>IF($A74="","",IF(ISNUMBER(MATCH($I74,재무상태표!$G:$G,0)),"✓ 일치","⚠ 확인필요"))</f>
        <v/>
      </c>
      <c r="K74" s="189">
        <f>IFERROR(IF(F74=0,"",(C74-F74)/ABS(F74)),"")</f>
        <v/>
      </c>
    </row>
    <row r="75" ht="21.75" customHeight="1" s="127">
      <c r="A75" s="67" t="inlineStr">
        <is>
          <t xml:space="preserve">  미처분  이익  잉여금</t>
        </is>
      </c>
      <c r="B75" s="68">
        <f>IFERROR(INDEX(재무상태표!$B:$B,MATCH($I75,재무상태표!$G:$G,0)),0)</f>
        <v/>
      </c>
      <c r="C75" s="83">
        <f>IFERROR(INDEX(재무상태표!$C:$C,MATCH($I75,재무상태표!$G:$G,0)),0)</f>
        <v/>
      </c>
      <c r="D75" s="85" t="n"/>
      <c r="E75" s="68">
        <f>IFERROR(INDEX(재무상태표!$D:$D,MATCH($I75,재무상태표!$G:$G,0)),0)</f>
        <v/>
      </c>
      <c r="F75" s="83">
        <f>IFERROR(INDEX(재무상태표!$E:$E,MATCH($I75,재무상태표!$G:$G,0)),0)</f>
        <v/>
      </c>
      <c r="G75" s="188">
        <f>C75-F75</f>
        <v/>
      </c>
      <c r="H75" s="71">
        <f>SUBSTITUTE(A75," ","")</f>
        <v/>
      </c>
      <c r="I75" s="71">
        <f>H75&amp;"|"&amp;COUNTIF($H$9:H75,H75)</f>
        <v/>
      </c>
      <c r="J75" s="72">
        <f>IF($A75="","",IF(ISNUMBER(MATCH($I75,재무상태표!$G:$G,0)),"✓ 일치","⚠ 확인필요"))</f>
        <v/>
      </c>
      <c r="K75" s="189">
        <f>IFERROR(IF(F75=0,"",(C75-F75)/ABS(F75)),"")</f>
        <v/>
      </c>
    </row>
    <row r="76" ht="21.75" customHeight="1" s="127">
      <c r="A76" s="82" t="inlineStr">
        <is>
          <t xml:space="preserve">   ( 당 기 순 이 익 )</t>
        </is>
      </c>
      <c r="B76" s="68">
        <f>IFERROR(INDEX(재무상태표!$B:$B,MATCH($I76,재무상태표!$G:$G,0)),0)</f>
        <v/>
      </c>
      <c r="C76" s="68">
        <f>IFERROR(INDEX(재무상태표!$C:$C,MATCH($I76,재무상태표!$G:$G,0)),0)</f>
        <v/>
      </c>
      <c r="D76" s="85" t="n"/>
      <c r="E76" s="68">
        <f>IFERROR(INDEX(재무상태표!$D:$D,MATCH($I76,재무상태표!$G:$G,0)),0)</f>
        <v/>
      </c>
      <c r="F76" s="68">
        <f>IFERROR(INDEX(재무상태표!$E:$E,MATCH($I76,재무상태표!$G:$G,0)),0)</f>
        <v/>
      </c>
      <c r="G76" s="188">
        <f>C76-F76</f>
        <v/>
      </c>
      <c r="H76" s="71">
        <f>SUBSTITUTE(A76," ","")</f>
        <v/>
      </c>
      <c r="I76" s="71">
        <f>H76&amp;"|"&amp;COUNTIF($H$9:H76,H76)</f>
        <v/>
      </c>
      <c r="J76" s="72">
        <f>IF($A76="","",IF(ISNUMBER(MATCH($I76,재무상태표!$G:$G,0)),"✓ 일치","⚠ 확인필요"))</f>
        <v/>
      </c>
      <c r="K76" s="189">
        <f>IFERROR(IF(F76=0,"",(C76-F76)/ABS(F76)),"")</f>
        <v/>
      </c>
    </row>
    <row r="77" ht="21.75" customHeight="1" s="127">
      <c r="A77" s="67">
        <f>"   당기 :     "&amp;TEXT(손익계산서!C48,"#,##0")</f>
        <v/>
      </c>
      <c r="B77" s="68" t="n"/>
      <c r="C77" s="68" t="n"/>
      <c r="D77" s="85" t="n"/>
      <c r="E77" s="68" t="n"/>
      <c r="F77" s="68" t="n"/>
      <c r="G77" s="188">
        <f>C77-F77</f>
        <v/>
      </c>
      <c r="H77" s="71">
        <f>SUBSTITUTE(A77," ","")</f>
        <v/>
      </c>
      <c r="I77" s="71">
        <f>H77&amp;"|"&amp;COUNTIF($H$9:H77,H77)</f>
        <v/>
      </c>
      <c r="J77" s="90" t="n"/>
      <c r="K77" s="90" t="n"/>
    </row>
    <row r="78" ht="21.75" customHeight="1" s="127">
      <c r="A78" s="67">
        <f>"   전기 :     "&amp;TEXT(손익계산서!E48,"#,##0")</f>
        <v/>
      </c>
      <c r="B78" s="68" t="n"/>
      <c r="C78" s="68" t="n"/>
      <c r="D78" s="85" t="n"/>
      <c r="E78" s="68" t="n"/>
      <c r="F78" s="68" t="n"/>
      <c r="G78" s="188">
        <f>C78-F78</f>
        <v/>
      </c>
      <c r="H78" s="71">
        <f>SUBSTITUTE(A78," ","")</f>
        <v/>
      </c>
      <c r="I78" s="71">
        <f>H78&amp;"|"&amp;COUNTIF($H$9:H78,H78)</f>
        <v/>
      </c>
      <c r="J78" s="90" t="n"/>
      <c r="K78" s="90" t="n"/>
    </row>
    <row r="79" ht="21.75" customHeight="1" s="127">
      <c r="A79" s="88" t="inlineStr">
        <is>
          <t>자    본    총    계</t>
        </is>
      </c>
      <c r="B79" s="75">
        <f>IFERROR(INDEX(재무상태표!$B:$B,MATCH($I79,재무상태표!$G:$G,0)),0)</f>
        <v/>
      </c>
      <c r="C79" s="76">
        <f>IFERROR(INDEX(재무상태표!$C:$C,MATCH($I79,재무상태표!$G:$G,0)),0)</f>
        <v/>
      </c>
      <c r="D79" s="89" t="n"/>
      <c r="E79" s="75">
        <f>IFERROR(INDEX(재무상태표!$D:$D,MATCH($I79,재무상태표!$G:$G,0)),0)</f>
        <v/>
      </c>
      <c r="F79" s="76">
        <f>IFERROR(INDEX(재무상태표!$E:$E,MATCH($I79,재무상태표!$G:$G,0)),0)</f>
        <v/>
      </c>
      <c r="G79" s="190">
        <f>C79-F79</f>
        <v/>
      </c>
      <c r="H79" s="79">
        <f>SUBSTITUTE(A79," ","")</f>
        <v/>
      </c>
      <c r="I79" s="79">
        <f>H79&amp;"|"&amp;COUNTIF($H$9:H79,H79)</f>
        <v/>
      </c>
      <c r="J79" s="80">
        <f>IF($A79="","",IF(ISNUMBER(MATCH($I79,재무상태표!$G:$G,0)),"✓ 일치","⚠ 확인필요"))</f>
        <v/>
      </c>
      <c r="K79" s="191">
        <f>IFERROR(IF(F79=0,"",(C79-F79)/ABS(F79)),"")</f>
        <v/>
      </c>
    </row>
    <row r="80" ht="21.75" customHeight="1" s="127">
      <c r="A80" s="88" t="inlineStr">
        <is>
          <t>부 채 및 자 본 총 계</t>
        </is>
      </c>
      <c r="B80" s="75">
        <f>IFERROR(INDEX(재무상태표!$B:$B,MATCH($I80,재무상태표!$G:$G,0)),0)</f>
        <v/>
      </c>
      <c r="C80" s="76">
        <f>IFERROR(INDEX(재무상태표!$C:$C,MATCH($I80,재무상태표!$G:$G,0)),0)</f>
        <v/>
      </c>
      <c r="D80" s="89" t="n"/>
      <c r="E80" s="75">
        <f>IFERROR(INDEX(재무상태표!$D:$D,MATCH($I80,재무상태표!$G:$G,0)),0)</f>
        <v/>
      </c>
      <c r="F80" s="76">
        <f>IFERROR(INDEX(재무상태표!$E:$E,MATCH($I80,재무상태표!$G:$G,0)),0)</f>
        <v/>
      </c>
      <c r="G80" s="190">
        <f>C80-F80</f>
        <v/>
      </c>
      <c r="H80" s="79">
        <f>SUBSTITUTE(A80," ","")</f>
        <v/>
      </c>
      <c r="I80" s="79">
        <f>H80&amp;"|"&amp;COUNTIF($H$9:H80,H80)</f>
        <v/>
      </c>
      <c r="J80" s="80">
        <f>IF($A80="","",IF(ISNUMBER(MATCH($I80,재무상태표!$G:$G,0)),"✓ 일치","⚠ 확인필요"))</f>
        <v/>
      </c>
      <c r="K80" s="191">
        <f>IFERROR(IF(F80=0,"",(C80-F80)/ABS(F80)),"")</f>
        <v/>
      </c>
    </row>
  </sheetData>
  <mergeCells count="10">
    <mergeCell ref="A1:G1"/>
    <mergeCell ref="B7:C7"/>
    <mergeCell ref="E7:F7"/>
    <mergeCell ref="A3:G3"/>
    <mergeCell ref="A4:G4"/>
    <mergeCell ref="D7:D8"/>
    <mergeCell ref="A7:A8"/>
    <mergeCell ref="G7:G8"/>
    <mergeCell ref="B8:C8"/>
    <mergeCell ref="E8:F8"/>
  </mergeCells>
  <conditionalFormatting sqref="J9:J80">
    <cfRule type="expression" priority="5" dxfId="4">
      <formula>$J9="✓ 일치"</formula>
    </cfRule>
    <cfRule type="expression" priority="6" dxfId="3">
      <formula>$J9="⚠ 확인필요"</formula>
    </cfRule>
    <cfRule type="expression" priority="7" dxfId="4">
      <formula>$J9="✓ 일치"</formula>
    </cfRule>
    <cfRule type="expression" priority="8" dxfId="3">
      <formula>$J9="⚠ 확인필요"</formula>
    </cfRule>
  </conditionalFormatting>
  <conditionalFormatting sqref="K9:K80">
    <cfRule type="cellIs" priority="2" operator="greaterThan" dxfId="2">
      <formula>0</formula>
    </cfRule>
    <cfRule type="cellIs" priority="3" operator="lessThan" dxfId="1">
      <formula>0</formula>
    </cfRule>
    <cfRule type="expression" priority="4" dxfId="0">
      <formula>ABS($K9)&gt;0.2</formula>
    </cfRule>
  </conditionalFormatting>
  <printOptions horizontalCentered="1"/>
  <pageMargins left="0.39375" right="0.39375" top="0.590277777777778" bottom="0.551388888888889" header="0.511811023622047" footer="0.315277777777778"/>
  <pageSetup orientation="portrait" paperSize="9" scale="66" verticalDpi="300"/>
  <headerFooter>
    <oddHeader/>
    <oddFooter>&amp;C&amp;P/2</oddFooter>
    <evenHeader/>
    <evenFooter/>
    <firstHeader/>
    <firstFooter/>
  </headerFooter>
  <rowBreaks count="1" manualBreakCount="1">
    <brk id="61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CC00"/>
    <outlinePr summaryBelow="1" summaryRight="1"/>
    <pageSetUpPr/>
  </sheetPr>
  <dimension ref="A1:P62"/>
  <sheetViews>
    <sheetView topLeftCell="A46" zoomScaleNormal="100" workbookViewId="0">
      <selection activeCell="P63" sqref="P63"/>
    </sheetView>
  </sheetViews>
  <sheetFormatPr baseColWidth="8" defaultColWidth="9.1640625" defaultRowHeight="11.25"/>
  <cols>
    <col width="29.6640625" customWidth="1" style="127" min="1" max="1"/>
    <col width="20" customWidth="1" style="127" min="2" max="3"/>
    <col width="12.5" customWidth="1" style="127" min="4" max="4"/>
    <col width="20" customWidth="1" style="127" min="5" max="6"/>
    <col width="13.1640625" customWidth="1" style="127" min="7" max="7"/>
    <col hidden="1" width="13" customWidth="1" style="127" min="8" max="9"/>
    <col hidden="1" width="12" customWidth="1" style="127" min="10" max="10"/>
    <col hidden="1" width="13" customWidth="1" style="127" min="11" max="11"/>
  </cols>
  <sheetData>
    <row r="1" ht="18" customHeight="1" s="127">
      <c r="A1" s="149" t="inlineStr">
        <is>
          <t>손익계산서(매출액대비 비율분석)</t>
        </is>
      </c>
    </row>
    <row r="2" ht="6.75" customHeight="1" s="127">
      <c r="A2" s="61" t="n"/>
      <c r="B2" s="61" t="n"/>
      <c r="C2" s="61" t="n"/>
      <c r="D2" s="61" t="n"/>
      <c r="E2" s="61" t="n"/>
      <c r="F2" s="61" t="n"/>
      <c r="G2" s="61" t="n"/>
    </row>
    <row r="3" ht="15.75" customFormat="1" customHeight="1" s="153">
      <c r="A3" s="151">
        <f>"(당기) "&amp;TEXT(DATE(YEAR(인덱스!$K$1),1,1),"yyyy")&amp;"년"&amp;TEXT(MONTH(DATE(YEAR(인덱스!$K$1),1,1)),"00")&amp;"월"&amp;TEXT(DAY(DATE(YEAR(인덱스!$K$1),1,1)),"00")&amp;"일"&amp;" - "&amp;TEXT(인덱스!$K$1,"yyyy")&amp;"년"&amp;TEXT(MONTH(인덱스!$K$1),"00")&amp;"월"&amp;TEXT(DAY(인덱스!$K$1),"00")&amp;"일"</f>
        <v/>
      </c>
    </row>
    <row r="4" ht="15.75" customFormat="1" customHeight="1" s="153">
      <c r="A4" s="151">
        <f>"(전기) "&amp;TEXT(DATE(YEAR(인덱스!$K$1)-1,1,1),"yyyy")&amp;"년"&amp;TEXT(MONTH(DATE(YEAR(인덱스!$K$1)-1,1,1)),"00")&amp;"월"&amp;TEXT(DAY(DATE(YEAR(인덱스!$K$1)-1,1,1)),"00")&amp;"일"&amp;" - "&amp;TEXT(DATE(YEAR(인덱스!$K$1)-1,12,31),"yyyy")&amp;"년"&amp;TEXT(MONTH(DATE(YEAR(인덱스!$K$1)-1,12,31)),"00")&amp;"월"&amp;TEXT(DAY(DATE(YEAR(인덱스!$K$1)-1,12,31)),"00")&amp;"일"</f>
        <v/>
      </c>
    </row>
    <row r="5" ht="9" customHeight="1" s="127">
      <c r="C5" s="63" t="n"/>
    </row>
    <row r="6" ht="11.25" customHeight="1" s="127">
      <c r="A6" s="63" t="inlineStr">
        <is>
          <t>㈜창현</t>
        </is>
      </c>
      <c r="G6" s="64" t="inlineStr">
        <is>
          <t>단위 : 원</t>
        </is>
      </c>
    </row>
    <row r="7" ht="15.75" customHeight="1" s="127">
      <c r="A7" s="150" t="inlineStr">
        <is>
          <t>과  목</t>
        </is>
      </c>
      <c r="B7" s="150" t="inlineStr">
        <is>
          <t>제 35 (당)기</t>
        </is>
      </c>
      <c r="C7" s="130" t="n"/>
      <c r="D7" s="154" t="inlineStr">
        <is>
          <t>매출액대비 비율</t>
        </is>
      </c>
      <c r="E7" s="150" t="inlineStr">
        <is>
          <t>제 34 (전)기</t>
        </is>
      </c>
      <c r="F7" s="130" t="n"/>
      <c r="G7" s="154" t="inlineStr">
        <is>
          <t>매출액대비 비율</t>
        </is>
      </c>
      <c r="J7" s="66" t="inlineStr">
        <is>
          <t>일치확인</t>
        </is>
      </c>
      <c r="K7" s="66" t="inlineStr">
        <is>
          <t>비율증감(%p)</t>
        </is>
      </c>
    </row>
    <row r="8" ht="15.75" customHeight="1" s="127">
      <c r="A8" s="152" t="n"/>
      <c r="B8" s="150" t="inlineStr">
        <is>
          <t>금    액</t>
        </is>
      </c>
      <c r="C8" s="130" t="n"/>
      <c r="D8" s="152" t="n"/>
      <c r="E8" s="150" t="inlineStr">
        <is>
          <t>금   액</t>
        </is>
      </c>
      <c r="F8" s="130" t="n"/>
      <c r="G8" s="152" t="n"/>
    </row>
    <row r="9" ht="16.5" customHeight="1" s="127">
      <c r="A9" s="74" t="inlineStr">
        <is>
          <t>Ⅰ  . 매      출      액</t>
        </is>
      </c>
      <c r="B9" s="192">
        <f>IFERROR(INDEX(손익계산서!$B:$B,MATCH($I9,손익계산서!$G:$G,0)),0)</f>
        <v/>
      </c>
      <c r="C9" s="192">
        <f>IFERROR(INDEX(손익계산서!$C:$C,MATCH($I9,손익계산서!$G:$G,0)),0)</f>
        <v/>
      </c>
      <c r="D9" s="92">
        <f>C9/C9</f>
        <v/>
      </c>
      <c r="E9" s="192">
        <f>IFERROR(INDEX(손익계산서!$D:$D,MATCH($I9,손익계산서!$G:$G,0)),0)</f>
        <v/>
      </c>
      <c r="F9" s="192">
        <f>IFERROR(INDEX(손익계산서!$E:$E,MATCH($I9,손익계산서!$G:$G,0)),0)</f>
        <v/>
      </c>
      <c r="G9" s="92">
        <f>F9/F9</f>
        <v/>
      </c>
      <c r="H9">
        <f>SUBSTITUTE(A9," ","")</f>
        <v/>
      </c>
      <c r="I9">
        <f>H9&amp;"|"&amp;COUNTIF($H$9:H9,H9)</f>
        <v/>
      </c>
      <c r="J9" s="93">
        <f>IF($A9="","",IF(ISNUMBER(MATCH($I9,손익계산서!$G:$G,0)),"✓ 일치","⚠ 확인필요"))</f>
        <v/>
      </c>
      <c r="K9" s="193">
        <f>IFERROR(IF(OR(D9="",G9=""),"",D9-G9),"")</f>
        <v/>
      </c>
    </row>
    <row r="10" ht="16.5" customHeight="1" s="127">
      <c r="A10" s="67" t="inlineStr">
        <is>
          <t xml:space="preserve">      상    품   매   출</t>
        </is>
      </c>
      <c r="B10" s="194">
        <f>IFERROR(INDEX(손익계산서!$B:$B,MATCH($I10,손익계산서!$G:$G,0)),0)</f>
        <v/>
      </c>
      <c r="C10" s="194">
        <f>IFERROR(INDEX(손익계산서!$C:$C,MATCH($I10,손익계산서!$G:$G,0)),0)</f>
        <v/>
      </c>
      <c r="D10" s="96" t="n"/>
      <c r="E10" s="194">
        <f>IFERROR(INDEX(손익계산서!$D:$D,MATCH($I10,손익계산서!$G:$G,0)),0)</f>
        <v/>
      </c>
      <c r="F10" s="194">
        <f>IFERROR(INDEX(손익계산서!$E:$E,MATCH($I10,손익계산서!$G:$G,0)),0)</f>
        <v/>
      </c>
      <c r="G10" s="96" t="n"/>
      <c r="H10">
        <f>SUBSTITUTE(A10," ","")</f>
        <v/>
      </c>
      <c r="I10">
        <f>H10&amp;"|"&amp;COUNTIF($H$9:H10,H10)</f>
        <v/>
      </c>
      <c r="J10" s="93">
        <f>IF($A10="","",IF(ISNUMBER(MATCH($I10,손익계산서!$G:$G,0)),"✓ 일치","⚠ 확인필요"))</f>
        <v/>
      </c>
      <c r="K10" s="193">
        <f>IFERROR(IF(OR(D10="",G10=""),"",D10-G10),"")</f>
        <v/>
      </c>
    </row>
    <row r="11" ht="16.5" customHeight="1" s="127">
      <c r="A11" s="67" t="inlineStr">
        <is>
          <t xml:space="preserve">      상 품  수 출 매 출</t>
        </is>
      </c>
      <c r="B11" s="194">
        <f>IFERROR(INDEX(손익계산서!$B:$B,MATCH($I11,손익계산서!$G:$G,0)),0)</f>
        <v/>
      </c>
      <c r="C11" s="194">
        <f>IFERROR(INDEX(손익계산서!$C:$C,MATCH($I11,손익계산서!$G:$G,0)),0)</f>
        <v/>
      </c>
      <c r="D11" s="96" t="n"/>
      <c r="E11" s="194">
        <f>IFERROR(INDEX(손익계산서!$D:$D,MATCH($I11,손익계산서!$G:$G,0)),0)</f>
        <v/>
      </c>
      <c r="F11" s="194">
        <f>IFERROR(INDEX(손익계산서!$E:$E,MATCH($I11,손익계산서!$G:$G,0)),0)</f>
        <v/>
      </c>
      <c r="G11" s="96" t="n"/>
      <c r="H11">
        <f>SUBSTITUTE(A11," ","")</f>
        <v/>
      </c>
      <c r="I11">
        <f>H11&amp;"|"&amp;COUNTIF($H$9:H11,H11)</f>
        <v/>
      </c>
      <c r="J11" s="93">
        <f>IF($A11="","",IF(ISNUMBER(MATCH($I11,손익계산서!$G:$G,0)),"✓ 일치","⚠ 확인필요"))</f>
        <v/>
      </c>
      <c r="K11" s="193">
        <f>IFERROR(IF(OR(D11="",G11=""),"",D11-G11),"")</f>
        <v/>
      </c>
    </row>
    <row r="12" ht="16.5" customHeight="1" s="127">
      <c r="A12" s="74" t="inlineStr">
        <is>
          <t>Ⅱ  . 매    출   원   가</t>
        </is>
      </c>
      <c r="B12" s="192">
        <f>IFERROR(INDEX(손익계산서!$B:$B,MATCH($I12,손익계산서!$G:$G,0)),0)</f>
        <v/>
      </c>
      <c r="C12" s="192">
        <f>IFERROR(INDEX(손익계산서!$C:$C,MATCH($I12,손익계산서!$G:$G,0)),0)</f>
        <v/>
      </c>
      <c r="D12" s="92">
        <f>C12/C9</f>
        <v/>
      </c>
      <c r="E12" s="192">
        <f>IFERROR(INDEX(손익계산서!$D:$D,MATCH($I12,손익계산서!$G:$G,0)),0)</f>
        <v/>
      </c>
      <c r="F12" s="192">
        <f>IFERROR(INDEX(손익계산서!$E:$E,MATCH($I12,손익계산서!$G:$G,0)),0)</f>
        <v/>
      </c>
      <c r="G12" s="92">
        <f>F12/F9</f>
        <v/>
      </c>
      <c r="H12">
        <f>SUBSTITUTE(A12," ","")</f>
        <v/>
      </c>
      <c r="I12">
        <f>H12&amp;"|"&amp;COUNTIF($H$9:H12,H12)</f>
        <v/>
      </c>
      <c r="J12" s="93">
        <f>IF($A12="","",IF(ISNUMBER(MATCH($I12,손익계산서!$G:$G,0)),"✓ 일치","⚠ 확인필요"))</f>
        <v/>
      </c>
      <c r="K12" s="193">
        <f>IFERROR(IF(OR(D12="",G12=""),"",D12-G12),"")</f>
        <v/>
      </c>
    </row>
    <row r="13" ht="16.5" customHeight="1" s="127">
      <c r="A13" s="67" t="inlineStr">
        <is>
          <t xml:space="preserve">      상 품 매 출  원 가</t>
        </is>
      </c>
      <c r="B13" s="194">
        <f>IFERROR(INDEX(손익계산서!$B:$B,MATCH($I13,손익계산서!$G:$G,0)),0)</f>
        <v/>
      </c>
      <c r="C13" s="194">
        <f>IFERROR(INDEX(손익계산서!$C:$C,MATCH($I13,손익계산서!$G:$G,0)),0)</f>
        <v/>
      </c>
      <c r="D13" s="96" t="n"/>
      <c r="E13" s="194">
        <f>IFERROR(INDEX(손익계산서!$D:$D,MATCH($I13,손익계산서!$G:$G,0)),0)</f>
        <v/>
      </c>
      <c r="F13" s="194">
        <f>IFERROR(INDEX(손익계산서!$E:$E,MATCH($I13,손익계산서!$G:$G,0)),0)</f>
        <v/>
      </c>
      <c r="G13" s="96" t="n"/>
      <c r="H13">
        <f>SUBSTITUTE(A13," ","")</f>
        <v/>
      </c>
      <c r="I13">
        <f>H13&amp;"|"&amp;COUNTIF($H$9:H13,H13)</f>
        <v/>
      </c>
      <c r="J13" s="93">
        <f>IF($A13="","",IF(ISNUMBER(MATCH($I13,손익계산서!$G:$G,0)),"✓ 일치","⚠ 확인필요"))</f>
        <v/>
      </c>
      <c r="K13" s="193">
        <f>IFERROR(IF(OR(D13="",G13=""),"",D13-G13),"")</f>
        <v/>
      </c>
    </row>
    <row r="14" ht="16.5" customHeight="1" s="127">
      <c r="A14" s="67" t="inlineStr">
        <is>
          <t xml:space="preserve">        기초  상품  재고액</t>
        </is>
      </c>
      <c r="B14" s="194">
        <f>IFERROR(INDEX(손익계산서!$B:$B,MATCH($I14,손익계산서!$G:$G,0)),0)</f>
        <v/>
      </c>
      <c r="C14" s="194">
        <f>IFERROR(INDEX(손익계산서!$C:$C,MATCH($I14,손익계산서!$G:$G,0)),0)</f>
        <v/>
      </c>
      <c r="D14" s="96" t="n"/>
      <c r="E14" s="194">
        <f>IFERROR(INDEX(손익계산서!$D:$D,MATCH($I14,손익계산서!$G:$G,0)),0)</f>
        <v/>
      </c>
      <c r="F14" s="194">
        <f>IFERROR(INDEX(손익계산서!$E:$E,MATCH($I14,손익계산서!$G:$G,0)),0)</f>
        <v/>
      </c>
      <c r="G14" s="96" t="n"/>
      <c r="H14">
        <f>SUBSTITUTE(A14," ","")</f>
        <v/>
      </c>
      <c r="I14">
        <f>H14&amp;"|"&amp;COUNTIF($H$9:H14,H14)</f>
        <v/>
      </c>
      <c r="J14" s="93">
        <f>IF($A14="","",IF(ISNUMBER(MATCH($I14,손익계산서!$G:$G,0)),"✓ 일치","⚠ 확인필요"))</f>
        <v/>
      </c>
      <c r="K14" s="193">
        <f>IFERROR(IF(OR(D14="",G14=""),"",D14-G14),"")</f>
        <v/>
      </c>
    </row>
    <row r="15" ht="16.5" customHeight="1" s="127">
      <c r="A15" s="67" t="inlineStr">
        <is>
          <t xml:space="preserve">        당기 상품 매 입 액</t>
        </is>
      </c>
      <c r="B15" s="194">
        <f>IFERROR(INDEX(손익계산서!$B:$B,MATCH($I15,손익계산서!$G:$G,0)),0)</f>
        <v/>
      </c>
      <c r="C15" s="194">
        <f>IFERROR(INDEX(손익계산서!$C:$C,MATCH($I15,손익계산서!$G:$G,0)),0)</f>
        <v/>
      </c>
      <c r="D15" s="96" t="n"/>
      <c r="E15" s="194">
        <f>IFERROR(INDEX(손익계산서!$D:$D,MATCH($I15,손익계산서!$G:$G,0)),0)</f>
        <v/>
      </c>
      <c r="F15" s="194">
        <f>IFERROR(INDEX(손익계산서!$E:$E,MATCH($I15,손익계산서!$G:$G,0)),0)</f>
        <v/>
      </c>
      <c r="G15" s="96" t="n"/>
      <c r="H15">
        <f>SUBSTITUTE(A15," ","")</f>
        <v/>
      </c>
      <c r="I15">
        <f>H15&amp;"|"&amp;COUNTIF($H$9:H15,H15)</f>
        <v/>
      </c>
      <c r="J15" s="93">
        <f>IF($A15="","",IF(ISNUMBER(MATCH($I15,손익계산서!$G:$G,0)),"✓ 일치","⚠ 확인필요"))</f>
        <v/>
      </c>
      <c r="K15" s="193">
        <f>IFERROR(IF(OR(D15="",G15=""),"",D15-G15),"")</f>
        <v/>
      </c>
    </row>
    <row r="16" ht="16.5" customHeight="1" s="127">
      <c r="A16" s="67" t="inlineStr">
        <is>
          <t xml:space="preserve">        매   입   할    인</t>
        </is>
      </c>
      <c r="B16" s="194">
        <f>IFERROR(INDEX(손익계산서!$B:$B,MATCH($I16,손익계산서!$G:$G,0)),0)</f>
        <v/>
      </c>
      <c r="C16" s="194">
        <f>IFERROR(INDEX(손익계산서!$C:$C,MATCH($I16,손익계산서!$G:$G,0)),0)</f>
        <v/>
      </c>
      <c r="D16" s="96" t="n"/>
      <c r="E16" s="194">
        <f>IFERROR(INDEX(손익계산서!$D:$D,MATCH($I16,손익계산서!$G:$G,0)),0)</f>
        <v/>
      </c>
      <c r="F16" s="194">
        <f>IFERROR(INDEX(손익계산서!$E:$E,MATCH($I16,손익계산서!$G:$G,0)),0)</f>
        <v/>
      </c>
      <c r="G16" s="96" t="n"/>
      <c r="H16">
        <f>SUBSTITUTE(A16," ","")</f>
        <v/>
      </c>
      <c r="I16">
        <f>H16&amp;"|"&amp;COUNTIF($H$9:H16,H16)</f>
        <v/>
      </c>
      <c r="J16" s="93">
        <f>IF($A16="","",IF(ISNUMBER(MATCH($I16,손익계산서!$G:$G,0)),"✓ 일치","⚠ 확인필요"))</f>
        <v/>
      </c>
      <c r="K16" s="193">
        <f>IFERROR(IF(OR(D16="",G16=""),"",D16-G16),"")</f>
        <v/>
      </c>
    </row>
    <row r="17" ht="16.5" customHeight="1" s="127">
      <c r="A17" s="67" t="inlineStr">
        <is>
          <t xml:space="preserve">        기말  상품  재고액</t>
        </is>
      </c>
      <c r="B17" s="194">
        <f>IFERROR(INDEX(손익계산서!$B:$B,MATCH($I17,손익계산서!$G:$G,0)),0)</f>
        <v/>
      </c>
      <c r="C17" s="194">
        <f>IFERROR(INDEX(손익계산서!$C:$C,MATCH($I17,손익계산서!$G:$G,0)),0)</f>
        <v/>
      </c>
      <c r="D17" s="96" t="n"/>
      <c r="E17" s="194">
        <f>IFERROR(INDEX(손익계산서!$D:$D,MATCH($I17,손익계산서!$G:$G,0)),0)</f>
        <v/>
      </c>
      <c r="F17" s="194">
        <f>IFERROR(INDEX(손익계산서!$E:$E,MATCH($I17,손익계산서!$G:$G,0)),0)</f>
        <v/>
      </c>
      <c r="G17" s="96" t="n"/>
      <c r="H17">
        <f>SUBSTITUTE(A17," ","")</f>
        <v/>
      </c>
      <c r="I17">
        <f>H17&amp;"|"&amp;COUNTIF($H$9:H17,H17)</f>
        <v/>
      </c>
      <c r="J17" s="93">
        <f>IF($A17="","",IF(ISNUMBER(MATCH($I17,손익계산서!$G:$G,0)),"✓ 일치","⚠ 확인필요"))</f>
        <v/>
      </c>
      <c r="K17" s="193">
        <f>IFERROR(IF(OR(D17="",G17=""),"",D17-G17),"")</f>
        <v/>
      </c>
    </row>
    <row r="18" ht="17.25" customHeight="1" s="127">
      <c r="A18" s="74" t="inlineStr">
        <is>
          <t>Ⅲ  . 매  출  총  이  익</t>
        </is>
      </c>
      <c r="B18" s="192">
        <f>IFERROR(INDEX(손익계산서!$B:$B,MATCH($I18,손익계산서!$G:$G,0)),0)</f>
        <v/>
      </c>
      <c r="C18" s="192">
        <f>IFERROR(INDEX(손익계산서!$C:$C,MATCH($I18,손익계산서!$G:$G,0)),0)</f>
        <v/>
      </c>
      <c r="D18" s="92">
        <f>C18/C9</f>
        <v/>
      </c>
      <c r="E18" s="192">
        <f>IFERROR(INDEX(손익계산서!$D:$D,MATCH($I18,손익계산서!$G:$G,0)),0)</f>
        <v/>
      </c>
      <c r="F18" s="192">
        <f>IFERROR(INDEX(손익계산서!$E:$E,MATCH($I18,손익계산서!$G:$G,0)),0)</f>
        <v/>
      </c>
      <c r="G18" s="92">
        <f>F18/F9</f>
        <v/>
      </c>
      <c r="H18">
        <f>SUBSTITUTE(A18," ","")</f>
        <v/>
      </c>
      <c r="I18">
        <f>H18&amp;"|"&amp;COUNTIF($H$9:H18,H18)</f>
        <v/>
      </c>
      <c r="J18" s="93">
        <f>IF($A18="","",IF(ISNUMBER(MATCH($I18,손익계산서!$G:$G,0)),"✓ 일치","⚠ 확인필요"))</f>
        <v/>
      </c>
      <c r="K18" s="193">
        <f>IFERROR(IF(OR(D18="",G18=""),"",D18-G18),"")</f>
        <v/>
      </c>
    </row>
    <row r="19" ht="16.5" customHeight="1" s="127">
      <c r="A19" s="74" t="inlineStr">
        <is>
          <t>Ⅳ  . 판  매  관  리  비</t>
        </is>
      </c>
      <c r="B19" s="192">
        <f>IFERROR(INDEX(손익계산서!$B:$B,MATCH($I19,손익계산서!$G:$G,0)),0)</f>
        <v/>
      </c>
      <c r="C19" s="192">
        <f>IFERROR(INDEX(손익계산서!$C:$C,MATCH($I19,손익계산서!$G:$G,0)),0)</f>
        <v/>
      </c>
      <c r="D19" s="92">
        <f>C19/C9</f>
        <v/>
      </c>
      <c r="E19" s="192">
        <f>IFERROR(INDEX(손익계산서!$D:$D,MATCH($I19,손익계산서!$G:$G,0)),0)</f>
        <v/>
      </c>
      <c r="F19" s="192">
        <f>IFERROR(INDEX(손익계산서!$E:$E,MATCH($I19,손익계산서!$G:$G,0)),0)</f>
        <v/>
      </c>
      <c r="G19" s="92">
        <f>F19/F9</f>
        <v/>
      </c>
      <c r="H19">
        <f>SUBSTITUTE(A19," ","")</f>
        <v/>
      </c>
      <c r="I19">
        <f>H19&amp;"|"&amp;COUNTIF($H$9:H19,H19)</f>
        <v/>
      </c>
      <c r="J19" s="93">
        <f>IF($A19="","",IF(ISNUMBER(MATCH($I19,손익계산서!$G:$G,0)),"✓ 일치","⚠ 확인필요"))</f>
        <v/>
      </c>
      <c r="K19" s="193">
        <f>IFERROR(IF(OR(D19="",G19=""),"",D19-G19),"")</f>
        <v/>
      </c>
      <c r="M19" s="97" t="inlineStr">
        <is>
          <t>판관비대비 비율</t>
        </is>
      </c>
    </row>
    <row r="20" ht="16.5" customHeight="1" s="127">
      <c r="A20" s="67" t="inlineStr">
        <is>
          <t xml:space="preserve">      직   원    급   여</t>
        </is>
      </c>
      <c r="B20" s="194">
        <f>IFERROR(INDEX(손익계산서!$B:$B,MATCH($I20,손익계산서!$G:$G,0)),0)</f>
        <v/>
      </c>
      <c r="C20" s="194">
        <f>IFERROR(INDEX(손익계산서!$C:$C,MATCH($I20,손익계산서!$G:$G,0)),0)</f>
        <v/>
      </c>
      <c r="D20" s="96">
        <f>B20/$C$9</f>
        <v/>
      </c>
      <c r="E20" s="194">
        <f>IFERROR(INDEX(손익계산서!$D:$D,MATCH($I20,손익계산서!$G:$G,0)),0)</f>
        <v/>
      </c>
      <c r="F20" s="194">
        <f>IFERROR(INDEX(손익계산서!$E:$E,MATCH($I20,손익계산서!$G:$G,0)),0)</f>
        <v/>
      </c>
      <c r="G20" s="96">
        <f>E20/F$9</f>
        <v/>
      </c>
      <c r="H20">
        <f>SUBSTITUTE(A20," ","")</f>
        <v/>
      </c>
      <c r="I20">
        <f>H20&amp;"|"&amp;COUNTIF($H$9:H20,H20)</f>
        <v/>
      </c>
      <c r="J20" s="93">
        <f>IF($A20="","",IF(ISNUMBER(MATCH($I20,손익계산서!$G:$G,0)),"✓ 일치","⚠ 확인필요"))</f>
        <v/>
      </c>
      <c r="K20" s="193">
        <f>IFERROR(IF(OR(D20="",G20=""),"",D20-G20),"")</f>
        <v/>
      </c>
      <c r="M20" s="195">
        <f>(B20/$C$19)</f>
        <v/>
      </c>
      <c r="P20" s="195">
        <f>(E20/$F$19)</f>
        <v/>
      </c>
    </row>
    <row r="21" ht="16.5" customHeight="1" s="127">
      <c r="A21" s="67" t="inlineStr">
        <is>
          <t xml:space="preserve">      잡              급</t>
        </is>
      </c>
      <c r="B21" s="194">
        <f>IFERROR(INDEX(손익계산서!$B:$B,MATCH($I21,손익계산서!$G:$G,0)),0)</f>
        <v/>
      </c>
      <c r="C21" s="194">
        <f>IFERROR(INDEX(손익계산서!$C:$C,MATCH($I21,손익계산서!$G:$G,0)),0)</f>
        <v/>
      </c>
      <c r="D21" s="96">
        <f>B21/$C$9</f>
        <v/>
      </c>
      <c r="E21" s="194">
        <f>IFERROR(INDEX(손익계산서!$D:$D,MATCH($I21,손익계산서!$G:$G,0)),0)</f>
        <v/>
      </c>
      <c r="F21" s="194">
        <f>IFERROR(INDEX(손익계산서!$E:$E,MATCH($I21,손익계산서!$G:$G,0)),0)</f>
        <v/>
      </c>
      <c r="G21" s="96">
        <f>E21/F$9</f>
        <v/>
      </c>
      <c r="H21">
        <f>SUBSTITUTE(A21," ","")</f>
        <v/>
      </c>
      <c r="I21">
        <f>H21&amp;"|"&amp;COUNTIF($H$9:H21,H21)</f>
        <v/>
      </c>
      <c r="J21" s="93">
        <f>IF($A21="","",IF(ISNUMBER(MATCH($I21,손익계산서!$G:$G,0)),"✓ 일치","⚠ 확인필요"))</f>
        <v/>
      </c>
      <c r="K21" s="196">
        <f>IFERROR(IF(OR(D21="",G21=""),"",D21-G21),"")</f>
        <v/>
      </c>
      <c r="M21" s="195">
        <f>(B21/$C$19)</f>
        <v/>
      </c>
      <c r="P21" s="195">
        <f>(E21/$F$19)</f>
        <v/>
      </c>
    </row>
    <row r="22" ht="16.5" customHeight="1" s="127">
      <c r="A22" s="67" t="inlineStr">
        <is>
          <t xml:space="preserve">      상      여      금</t>
        </is>
      </c>
      <c r="B22" s="194">
        <f>IFERROR(INDEX(손익계산서!$B:$B,MATCH($I22,손익계산서!$G:$G,0)),0)</f>
        <v/>
      </c>
      <c r="C22" s="194">
        <f>IFERROR(INDEX(손익계산서!$C:$C,MATCH($I22,손익계산서!$G:$G,0)),0)</f>
        <v/>
      </c>
      <c r="D22" s="96">
        <f>B22/$C$9</f>
        <v/>
      </c>
      <c r="E22" s="194">
        <f>IFERROR(INDEX(손익계산서!$D:$D,MATCH($I22,손익계산서!$G:$G,0)),0)</f>
        <v/>
      </c>
      <c r="F22" s="194">
        <f>IFERROR(INDEX(손익계산서!$E:$E,MATCH($I22,손익계산서!$G:$G,0)),0)</f>
        <v/>
      </c>
      <c r="G22" s="96">
        <f>E22/F$9</f>
        <v/>
      </c>
      <c r="H22">
        <f>SUBSTITUTE(A22," ","")</f>
        <v/>
      </c>
      <c r="I22">
        <f>H22&amp;"|"&amp;COUNTIF($H$9:H22,H22)</f>
        <v/>
      </c>
      <c r="J22" s="93">
        <f>IF($A22="","",IF(ISNUMBER(MATCH($I22,손익계산서!$G:$G,0)),"✓ 일치","⚠ 확인필요"))</f>
        <v/>
      </c>
      <c r="K22" s="193">
        <f>IFERROR(IF(OR(D22="",G22=""),"",D22-G22),"")</f>
        <v/>
      </c>
      <c r="M22" s="197">
        <f>(B22/$C$19)</f>
        <v/>
      </c>
      <c r="P22" s="195">
        <f>(E22/$F$19)</f>
        <v/>
      </c>
    </row>
    <row r="23" ht="16.5" customHeight="1" s="127">
      <c r="A23" s="67" t="inlineStr">
        <is>
          <t xml:space="preserve">      연   차    수   당</t>
        </is>
      </c>
      <c r="B23" s="194">
        <f>IFERROR(INDEX(손익계산서!$B:$B,MATCH($I23,손익계산서!$G:$G,0)),0)</f>
        <v/>
      </c>
      <c r="C23" s="194">
        <f>IFERROR(INDEX(손익계산서!$C:$C,MATCH($I23,손익계산서!$G:$G,0)),0)</f>
        <v/>
      </c>
      <c r="D23" s="96">
        <f>B23/$C$9</f>
        <v/>
      </c>
      <c r="E23" s="194">
        <f>IFERROR(INDEX(손익계산서!$D:$D,MATCH($I23,손익계산서!$G:$G,0)),0)</f>
        <v/>
      </c>
      <c r="F23" s="194">
        <f>IFERROR(INDEX(손익계산서!$E:$E,MATCH($I23,손익계산서!$G:$G,0)),0)</f>
        <v/>
      </c>
      <c r="G23" s="96">
        <f>E23/F$9</f>
        <v/>
      </c>
      <c r="H23">
        <f>SUBSTITUTE(A23," ","")</f>
        <v/>
      </c>
      <c r="I23">
        <f>H23&amp;"|"&amp;COUNTIF($H$9:H23,H23)</f>
        <v/>
      </c>
      <c r="J23" s="93">
        <f>IF($A23="","",IF(ISNUMBER(MATCH($I23,손익계산서!$G:$G,0)),"✓ 일치","⚠ 확인필요"))</f>
        <v/>
      </c>
      <c r="K23" s="193">
        <f>IFERROR(IF(OR(D23="",G23=""),"",D23-G23),"")</f>
        <v/>
      </c>
      <c r="M23" s="197">
        <f>(B23/$C$19)</f>
        <v/>
      </c>
      <c r="P23" s="198">
        <f>(E23/$F$19)</f>
        <v/>
      </c>
    </row>
    <row r="24" ht="16.5" customHeight="1" s="127">
      <c r="A24" s="67" t="inlineStr">
        <is>
          <t xml:space="preserve">      퇴   직    급   여</t>
        </is>
      </c>
      <c r="B24" s="194">
        <f>IFERROR(INDEX(손익계산서!$B:$B,MATCH($I24,손익계산서!$G:$G,0)),0)</f>
        <v/>
      </c>
      <c r="C24" s="194">
        <f>IFERROR(INDEX(손익계산서!$C:$C,MATCH($I24,손익계산서!$G:$G,0)),0)</f>
        <v/>
      </c>
      <c r="D24" s="96">
        <f>B24/$C$9</f>
        <v/>
      </c>
      <c r="E24" s="194">
        <f>IFERROR(INDEX(손익계산서!$D:$D,MATCH($I24,손익계산서!$G:$G,0)),0)</f>
        <v/>
      </c>
      <c r="F24" s="194">
        <f>IFERROR(INDEX(손익계산서!$E:$E,MATCH($I24,손익계산서!$G:$G,0)),0)</f>
        <v/>
      </c>
      <c r="G24" s="96">
        <f>E24/F$9</f>
        <v/>
      </c>
      <c r="H24">
        <f>SUBSTITUTE(A24," ","")</f>
        <v/>
      </c>
      <c r="I24">
        <f>H24&amp;"|"&amp;COUNTIF($H$9:H24,H24)</f>
        <v/>
      </c>
      <c r="J24" s="93">
        <f>IF($A24="","",IF(ISNUMBER(MATCH($I24,손익계산서!$G:$G,0)),"✓ 일치","⚠ 확인필요"))</f>
        <v/>
      </c>
      <c r="K24" s="193">
        <f>IFERROR(IF(OR(D24="",G24=""),"",D24-G24),"")</f>
        <v/>
      </c>
      <c r="M24" s="197">
        <f>(B24/$C$19)</f>
        <v/>
      </c>
      <c r="P24" s="195">
        <f>(E24/$F$19)</f>
        <v/>
      </c>
    </row>
    <row r="25" ht="16.5" customHeight="1" s="127">
      <c r="A25" s="67" t="inlineStr">
        <is>
          <t xml:space="preserve">      복  리  후  생  비</t>
        </is>
      </c>
      <c r="B25" s="194">
        <f>IFERROR(INDEX(손익계산서!$B:$B,MATCH($I25,손익계산서!$G:$G,0)),0)</f>
        <v/>
      </c>
      <c r="C25" s="194">
        <f>IFERROR(INDEX(손익계산서!$C:$C,MATCH($I25,손익계산서!$G:$G,0)),0)</f>
        <v/>
      </c>
      <c r="D25" s="96">
        <f>B25/$C$9</f>
        <v/>
      </c>
      <c r="E25" s="194">
        <f>IFERROR(INDEX(손익계산서!$D:$D,MATCH($I25,손익계산서!$G:$G,0)),0)</f>
        <v/>
      </c>
      <c r="F25" s="194">
        <f>IFERROR(INDEX(손익계산서!$E:$E,MATCH($I25,손익계산서!$G:$G,0)),0)</f>
        <v/>
      </c>
      <c r="G25" s="96">
        <f>E25/F$9</f>
        <v/>
      </c>
      <c r="H25">
        <f>SUBSTITUTE(A25," ","")</f>
        <v/>
      </c>
      <c r="I25">
        <f>H25&amp;"|"&amp;COUNTIF($H$9:H25,H25)</f>
        <v/>
      </c>
      <c r="J25" s="93">
        <f>IF($A25="","",IF(ISNUMBER(MATCH($I25,손익계산서!$G:$G,0)),"✓ 일치","⚠ 확인필요"))</f>
        <v/>
      </c>
      <c r="K25" s="193">
        <f>IFERROR(IF(OR(D25="",G25=""),"",D25-G25),"")</f>
        <v/>
      </c>
      <c r="M25" s="197">
        <f>(B25/$C$19)</f>
        <v/>
      </c>
      <c r="P25" s="198">
        <f>(E25/$F$19)</f>
        <v/>
      </c>
    </row>
    <row r="26" ht="16.5" customHeight="1" s="127">
      <c r="A26" s="67" t="inlineStr">
        <is>
          <t xml:space="preserve">      여  비  교  통  비</t>
        </is>
      </c>
      <c r="B26" s="194">
        <f>IFERROR(INDEX(손익계산서!$B:$B,MATCH($I26,손익계산서!$G:$G,0)),0)</f>
        <v/>
      </c>
      <c r="C26" s="194">
        <f>IFERROR(INDEX(손익계산서!$C:$C,MATCH($I26,손익계산서!$G:$G,0)),0)</f>
        <v/>
      </c>
      <c r="D26" s="96">
        <f>B26/$C$9</f>
        <v/>
      </c>
      <c r="E26" s="194">
        <f>IFERROR(INDEX(손익계산서!$D:$D,MATCH($I26,손익계산서!$G:$G,0)),0)</f>
        <v/>
      </c>
      <c r="F26" s="194">
        <f>IFERROR(INDEX(손익계산서!$E:$E,MATCH($I26,손익계산서!$G:$G,0)),0)</f>
        <v/>
      </c>
      <c r="G26" s="96">
        <f>E26/F$9</f>
        <v/>
      </c>
      <c r="H26">
        <f>SUBSTITUTE(A26," ","")</f>
        <v/>
      </c>
      <c r="I26">
        <f>H26&amp;"|"&amp;COUNTIF($H$9:H26,H26)</f>
        <v/>
      </c>
      <c r="J26" s="93">
        <f>IF($A26="","",IF(ISNUMBER(MATCH($I26,손익계산서!$G:$G,0)),"✓ 일치","⚠ 확인필요"))</f>
        <v/>
      </c>
      <c r="K26" s="193">
        <f>IFERROR(IF(OR(D26="",G26=""),"",D26-G26),"")</f>
        <v/>
      </c>
      <c r="M26" s="197">
        <f>(B26/$C$19)</f>
        <v/>
      </c>
      <c r="P26" s="198">
        <f>(E26/$F$19)</f>
        <v/>
      </c>
    </row>
    <row r="27" ht="16.5" customHeight="1" s="127">
      <c r="A27" s="67" t="inlineStr">
        <is>
          <t xml:space="preserve">      접      대      비</t>
        </is>
      </c>
      <c r="B27" s="194">
        <f>IFERROR(INDEX(손익계산서!$B:$B,MATCH($I27,손익계산서!$G:$G,0)),0)</f>
        <v/>
      </c>
      <c r="C27" s="194">
        <f>IFERROR(INDEX(손익계산서!$C:$C,MATCH($I27,손익계산서!$G:$G,0)),0)</f>
        <v/>
      </c>
      <c r="D27" s="96">
        <f>B27/$C$9</f>
        <v/>
      </c>
      <c r="E27" s="194">
        <f>IFERROR(INDEX(손익계산서!$D:$D,MATCH($I27,손익계산서!$G:$G,0)),0)</f>
        <v/>
      </c>
      <c r="F27" s="194">
        <f>IFERROR(INDEX(손익계산서!$E:$E,MATCH($I27,손익계산서!$G:$G,0)),0)</f>
        <v/>
      </c>
      <c r="G27" s="96">
        <f>E27/F$9</f>
        <v/>
      </c>
      <c r="H27">
        <f>SUBSTITUTE(A27," ","")</f>
        <v/>
      </c>
      <c r="I27">
        <f>H27&amp;"|"&amp;COUNTIF($H$9:H27,H27)</f>
        <v/>
      </c>
      <c r="J27" s="93">
        <f>IF($A27="","",IF(ISNUMBER(MATCH($I27,손익계산서!$G:$G,0)),"✓ 일치","⚠ 확인필요"))</f>
        <v/>
      </c>
      <c r="K27" s="193">
        <f>IFERROR(IF(OR(D27="",G27=""),"",D27-G27),"")</f>
        <v/>
      </c>
      <c r="M27" s="197">
        <f>(B27/$C$19)</f>
        <v/>
      </c>
      <c r="P27" s="198">
        <f>(E27/$F$19)</f>
        <v/>
      </c>
    </row>
    <row r="28" ht="16.5" customHeight="1" s="127">
      <c r="A28" s="67" t="inlineStr">
        <is>
          <t xml:space="preserve">      통      신      비</t>
        </is>
      </c>
      <c r="B28" s="194">
        <f>IFERROR(INDEX(손익계산서!$B:$B,MATCH($I28,손익계산서!$G:$G,0)),0)</f>
        <v/>
      </c>
      <c r="C28" s="194">
        <f>IFERROR(INDEX(손익계산서!$C:$C,MATCH($I28,손익계산서!$G:$G,0)),0)</f>
        <v/>
      </c>
      <c r="D28" s="96">
        <f>B28/$C$9</f>
        <v/>
      </c>
      <c r="E28" s="194">
        <f>IFERROR(INDEX(손익계산서!$D:$D,MATCH($I28,손익계산서!$G:$G,0)),0)</f>
        <v/>
      </c>
      <c r="F28" s="194">
        <f>IFERROR(INDEX(손익계산서!$E:$E,MATCH($I28,손익계산서!$G:$G,0)),0)</f>
        <v/>
      </c>
      <c r="G28" s="96">
        <f>E28/F$9</f>
        <v/>
      </c>
      <c r="H28">
        <f>SUBSTITUTE(A28," ","")</f>
        <v/>
      </c>
      <c r="I28">
        <f>H28&amp;"|"&amp;COUNTIF($H$9:H28,H28)</f>
        <v/>
      </c>
      <c r="J28" s="93">
        <f>IF($A28="","",IF(ISNUMBER(MATCH($I28,손익계산서!$G:$G,0)),"✓ 일치","⚠ 확인필요"))</f>
        <v/>
      </c>
      <c r="K28" s="193">
        <f>IFERROR(IF(OR(D28="",G28=""),"",D28-G28),"")</f>
        <v/>
      </c>
      <c r="M28" s="197">
        <f>(B28/$C$19)</f>
        <v/>
      </c>
      <c r="P28" s="198">
        <f>(E28/$F$19)</f>
        <v/>
      </c>
    </row>
    <row r="29" ht="16.5" customHeight="1" s="127">
      <c r="A29" s="67" t="inlineStr">
        <is>
          <t xml:space="preserve">      수  도  광  열  비</t>
        </is>
      </c>
      <c r="B29" s="194">
        <f>IFERROR(INDEX(손익계산서!$B:$B,MATCH($I29,손익계산서!$G:$G,0)),0)</f>
        <v/>
      </c>
      <c r="C29" s="194">
        <f>IFERROR(INDEX(손익계산서!$C:$C,MATCH($I29,손익계산서!$G:$G,0)),0)</f>
        <v/>
      </c>
      <c r="D29" s="96">
        <f>B29/$C$9</f>
        <v/>
      </c>
      <c r="E29" s="194">
        <f>IFERROR(INDEX(손익계산서!$D:$D,MATCH($I29,손익계산서!$G:$G,0)),0)</f>
        <v/>
      </c>
      <c r="F29" s="194">
        <f>IFERROR(INDEX(손익계산서!$E:$E,MATCH($I29,손익계산서!$G:$G,0)),0)</f>
        <v/>
      </c>
      <c r="G29" s="96">
        <f>E29/F$9</f>
        <v/>
      </c>
      <c r="H29">
        <f>SUBSTITUTE(A29," ","")</f>
        <v/>
      </c>
      <c r="I29">
        <f>H29&amp;"|"&amp;COUNTIF($H$9:H29,H29)</f>
        <v/>
      </c>
      <c r="J29" s="93">
        <f>IF($A29="","",IF(ISNUMBER(MATCH($I29,손익계산서!$G:$G,0)),"✓ 일치","⚠ 확인필요"))</f>
        <v/>
      </c>
      <c r="K29" s="193">
        <f>IFERROR(IF(OR(D29="",G29=""),"",D29-G29),"")</f>
        <v/>
      </c>
      <c r="M29" s="197">
        <f>(B29/$C$19)</f>
        <v/>
      </c>
      <c r="P29" s="198">
        <f>(E29/$F$19)</f>
        <v/>
      </c>
    </row>
    <row r="30" ht="16.5" customHeight="1" s="127">
      <c r="A30" s="67" t="inlineStr">
        <is>
          <t xml:space="preserve">      전      력      비</t>
        </is>
      </c>
      <c r="B30" s="194">
        <f>IFERROR(INDEX(손익계산서!$B:$B,MATCH($I30,손익계산서!$G:$G,0)),0)</f>
        <v/>
      </c>
      <c r="C30" s="194">
        <f>IFERROR(INDEX(손익계산서!$C:$C,MATCH($I30,손익계산서!$G:$G,0)),0)</f>
        <v/>
      </c>
      <c r="D30" s="96">
        <f>B30/$C$9</f>
        <v/>
      </c>
      <c r="E30" s="194">
        <f>IFERROR(INDEX(손익계산서!$D:$D,MATCH($I30,손익계산서!$G:$G,0)),0)</f>
        <v/>
      </c>
      <c r="F30" s="194">
        <f>IFERROR(INDEX(손익계산서!$E:$E,MATCH($I30,손익계산서!$G:$G,0)),0)</f>
        <v/>
      </c>
      <c r="G30" s="96">
        <f>E30/F$9</f>
        <v/>
      </c>
      <c r="H30">
        <f>SUBSTITUTE(A30," ","")</f>
        <v/>
      </c>
      <c r="I30">
        <f>H30&amp;"|"&amp;COUNTIF($H$9:H30,H30)</f>
        <v/>
      </c>
      <c r="J30" s="93">
        <f>IF($A30="","",IF(ISNUMBER(MATCH($I30,손익계산서!$G:$G,0)),"✓ 일치","⚠ 확인필요"))</f>
        <v/>
      </c>
      <c r="K30" s="193">
        <f>IFERROR(IF(OR(D30="",G30=""),"",D30-G30),"")</f>
        <v/>
      </c>
      <c r="M30" s="197">
        <f>(B30/$C$19)</f>
        <v/>
      </c>
      <c r="P30" s="198">
        <f>(E30/$F$19)</f>
        <v/>
      </c>
    </row>
    <row r="31" ht="16.5" customHeight="1" s="127">
      <c r="A31" s="67" t="inlineStr">
        <is>
          <t xml:space="preserve">      세 금 과  공 과 금</t>
        </is>
      </c>
      <c r="B31" s="194">
        <f>IFERROR(INDEX(손익계산서!$B:$B,MATCH($I31,손익계산서!$G:$G,0)),0)</f>
        <v/>
      </c>
      <c r="C31" s="194">
        <f>IFERROR(INDEX(손익계산서!$C:$C,MATCH($I31,손익계산서!$G:$G,0)),0)</f>
        <v/>
      </c>
      <c r="D31" s="96">
        <f>B31/$C$9</f>
        <v/>
      </c>
      <c r="E31" s="194">
        <f>IFERROR(INDEX(손익계산서!$D:$D,MATCH($I31,손익계산서!$G:$G,0)),0)</f>
        <v/>
      </c>
      <c r="F31" s="194">
        <f>IFERROR(INDEX(손익계산서!$E:$E,MATCH($I31,손익계산서!$G:$G,0)),0)</f>
        <v/>
      </c>
      <c r="G31" s="96">
        <f>E31/F$9</f>
        <v/>
      </c>
      <c r="H31">
        <f>SUBSTITUTE(A31," ","")</f>
        <v/>
      </c>
      <c r="I31">
        <f>H31&amp;"|"&amp;COUNTIF($H$9:H31,H31)</f>
        <v/>
      </c>
      <c r="J31" s="93">
        <f>IF($A31="","",IF(ISNUMBER(MATCH($I31,손익계산서!$G:$G,0)),"✓ 일치","⚠ 확인필요"))</f>
        <v/>
      </c>
      <c r="K31" s="193">
        <f>IFERROR(IF(OR(D31="",G31=""),"",D31-G31),"")</f>
        <v/>
      </c>
      <c r="M31" s="197">
        <f>(B31/$C$19)</f>
        <v/>
      </c>
      <c r="P31" s="198">
        <f>(E31/$F$19)</f>
        <v/>
      </c>
    </row>
    <row r="32" ht="16.5" customHeight="1" s="127">
      <c r="A32" s="67" t="inlineStr">
        <is>
          <t xml:space="preserve">      감  가  상  각  비</t>
        </is>
      </c>
      <c r="B32" s="194">
        <f>IFERROR(INDEX(손익계산서!$B:$B,MATCH($I32,손익계산서!$G:$G,0)),0)</f>
        <v/>
      </c>
      <c r="C32" s="194">
        <f>IFERROR(INDEX(손익계산서!$C:$C,MATCH($I32,손익계산서!$G:$G,0)),0)</f>
        <v/>
      </c>
      <c r="D32" s="96">
        <f>B32/$C$9</f>
        <v/>
      </c>
      <c r="E32" s="194">
        <f>IFERROR(INDEX(손익계산서!$D:$D,MATCH($I32,손익계산서!$G:$G,0)),0)</f>
        <v/>
      </c>
      <c r="F32" s="194">
        <f>IFERROR(INDEX(손익계산서!$E:$E,MATCH($I32,손익계산서!$G:$G,0)),0)</f>
        <v/>
      </c>
      <c r="G32" s="96">
        <f>E32/F$9</f>
        <v/>
      </c>
      <c r="H32">
        <f>SUBSTITUTE(A32," ","")</f>
        <v/>
      </c>
      <c r="I32">
        <f>H32&amp;"|"&amp;COUNTIF($H$9:H32,H32)</f>
        <v/>
      </c>
      <c r="J32" s="93">
        <f>IF($A32="","",IF(ISNUMBER(MATCH($I32,손익계산서!$G:$G,0)),"✓ 일치","⚠ 확인필요"))</f>
        <v/>
      </c>
      <c r="K32" s="193">
        <f>IFERROR(IF(OR(D32="",G32=""),"",D32-G32),"")</f>
        <v/>
      </c>
      <c r="M32" s="195">
        <f>(B32/$C$19)</f>
        <v/>
      </c>
      <c r="P32" s="198">
        <f>(E32/$F$19)</f>
        <v/>
      </c>
    </row>
    <row r="33" ht="16.5" customHeight="1" s="127">
      <c r="A33" s="67" t="inlineStr">
        <is>
          <t xml:space="preserve">      지  급  임  차  료</t>
        </is>
      </c>
      <c r="B33" s="194">
        <f>IFERROR(INDEX(손익계산서!$B:$B,MATCH($I33,손익계산서!$G:$G,0)),0)</f>
        <v/>
      </c>
      <c r="C33" s="194">
        <f>IFERROR(INDEX(손익계산서!$C:$C,MATCH($I33,손익계산서!$G:$G,0)),0)</f>
        <v/>
      </c>
      <c r="D33" s="96">
        <f>B33/$C$9</f>
        <v/>
      </c>
      <c r="E33" s="194">
        <f>IFERROR(INDEX(손익계산서!$D:$D,MATCH($I33,손익계산서!$G:$G,0)),0)</f>
        <v/>
      </c>
      <c r="F33" s="194">
        <f>IFERROR(INDEX(손익계산서!$E:$E,MATCH($I33,손익계산서!$G:$G,0)),0)</f>
        <v/>
      </c>
      <c r="G33" s="96">
        <f>E33/F$9</f>
        <v/>
      </c>
      <c r="H33">
        <f>SUBSTITUTE(A33," ","")</f>
        <v/>
      </c>
      <c r="I33">
        <f>H33&amp;"|"&amp;COUNTIF($H$9:H33,H33)</f>
        <v/>
      </c>
      <c r="J33" s="93">
        <f>IF($A33="","",IF(ISNUMBER(MATCH($I33,손익계산서!$G:$G,0)),"✓ 일치","⚠ 확인필요"))</f>
        <v/>
      </c>
      <c r="K33" s="193">
        <f>IFERROR(IF(OR(D33="",G33=""),"",D33-G33),"")</f>
        <v/>
      </c>
      <c r="M33" s="195">
        <f>(B33/$C$19)</f>
        <v/>
      </c>
      <c r="P33" s="195">
        <f>(E33/$F$19)</f>
        <v/>
      </c>
    </row>
    <row r="34" ht="16.5" customHeight="1" s="127">
      <c r="A34" s="67" t="inlineStr">
        <is>
          <t xml:space="preserve">      보      험      료</t>
        </is>
      </c>
      <c r="B34" s="194">
        <f>IFERROR(INDEX(손익계산서!$B:$B,MATCH($I34,손익계산서!$G:$G,0)),0)</f>
        <v/>
      </c>
      <c r="C34" s="194">
        <f>IFERROR(INDEX(손익계산서!$C:$C,MATCH($I34,손익계산서!$G:$G,0)),0)</f>
        <v/>
      </c>
      <c r="D34" s="96">
        <f>B34/$C$9</f>
        <v/>
      </c>
      <c r="E34" s="194">
        <f>IFERROR(INDEX(손익계산서!$D:$D,MATCH($I34,손익계산서!$G:$G,0)),0)</f>
        <v/>
      </c>
      <c r="F34" s="194">
        <f>IFERROR(INDEX(손익계산서!$E:$E,MATCH($I34,손익계산서!$G:$G,0)),0)</f>
        <v/>
      </c>
      <c r="G34" s="96">
        <f>E34/F$9</f>
        <v/>
      </c>
      <c r="H34">
        <f>SUBSTITUTE(A34," ","")</f>
        <v/>
      </c>
      <c r="I34">
        <f>H34&amp;"|"&amp;COUNTIF($H$9:H34,H34)</f>
        <v/>
      </c>
      <c r="J34" s="93">
        <f>IF($A34="","",IF(ISNUMBER(MATCH($I34,손익계산서!$G:$G,0)),"✓ 일치","⚠ 확인필요"))</f>
        <v/>
      </c>
      <c r="K34" s="193">
        <f>IFERROR(IF(OR(D34="",G34=""),"",D34-G34),"")</f>
        <v/>
      </c>
      <c r="M34" s="197">
        <f>(B34/$C$19)</f>
        <v/>
      </c>
      <c r="P34" s="198">
        <f>(E34/$F$19)</f>
        <v/>
      </c>
    </row>
    <row r="35" ht="16.5" customHeight="1" s="127">
      <c r="A35" s="67" t="inlineStr">
        <is>
          <t xml:space="preserve">      차  량  유  지  비</t>
        </is>
      </c>
      <c r="B35" s="194">
        <f>IFERROR(INDEX(손익계산서!$B:$B,MATCH($I35,손익계산서!$G:$G,0)),0)</f>
        <v/>
      </c>
      <c r="C35" s="194">
        <f>IFERROR(INDEX(손익계산서!$C:$C,MATCH($I35,손익계산서!$G:$G,0)),0)</f>
        <v/>
      </c>
      <c r="D35" s="96">
        <f>B35/$C$9</f>
        <v/>
      </c>
      <c r="E35" s="194">
        <f>IFERROR(INDEX(손익계산서!$D:$D,MATCH($I35,손익계산서!$G:$G,0)),0)</f>
        <v/>
      </c>
      <c r="F35" s="194">
        <f>IFERROR(INDEX(손익계산서!$E:$E,MATCH($I35,손익계산서!$G:$G,0)),0)</f>
        <v/>
      </c>
      <c r="G35" s="96">
        <f>E35/F$9</f>
        <v/>
      </c>
      <c r="H35">
        <f>SUBSTITUTE(A35," ","")</f>
        <v/>
      </c>
      <c r="I35">
        <f>H35&amp;"|"&amp;COUNTIF($H$9:H35,H35)</f>
        <v/>
      </c>
      <c r="J35" s="93">
        <f>IF($A35="","",IF(ISNUMBER(MATCH($I35,손익계산서!$G:$G,0)),"✓ 일치","⚠ 확인필요"))</f>
        <v/>
      </c>
      <c r="K35" s="193">
        <f>IFERROR(IF(OR(D35="",G35=""),"",D35-G35),"")</f>
        <v/>
      </c>
      <c r="M35" s="195">
        <f>(B35/$C$19)</f>
        <v/>
      </c>
      <c r="P35" s="195">
        <f>(E35/$F$19)</f>
        <v/>
      </c>
    </row>
    <row r="36" ht="16.5" customHeight="1" s="127">
      <c r="A36" s="67" t="inlineStr">
        <is>
          <t xml:space="preserve">      운      반      비</t>
        </is>
      </c>
      <c r="B36" s="194">
        <f>IFERROR(INDEX(손익계산서!$B:$B,MATCH($I36,손익계산서!$G:$G,0)),0)</f>
        <v/>
      </c>
      <c r="C36" s="194">
        <f>IFERROR(INDEX(손익계산서!$C:$C,MATCH($I36,손익계산서!$G:$G,0)),0)</f>
        <v/>
      </c>
      <c r="D36" s="96">
        <f>B36/$C$9</f>
        <v/>
      </c>
      <c r="E36" s="194">
        <f>IFERROR(INDEX(손익계산서!$D:$D,MATCH($I36,손익계산서!$G:$G,0)),0)</f>
        <v/>
      </c>
      <c r="F36" s="194">
        <f>IFERROR(INDEX(손익계산서!$E:$E,MATCH($I36,손익계산서!$G:$G,0)),0)</f>
        <v/>
      </c>
      <c r="G36" s="96">
        <f>E36/F$9</f>
        <v/>
      </c>
      <c r="H36">
        <f>SUBSTITUTE(A36," ","")</f>
        <v/>
      </c>
      <c r="I36">
        <f>H36&amp;"|"&amp;COUNTIF($H$9:H36,H36)</f>
        <v/>
      </c>
      <c r="J36" s="93">
        <f>IF($A36="","",IF(ISNUMBER(MATCH($I36,손익계산서!$G:$G,0)),"✓ 일치","⚠ 확인필요"))</f>
        <v/>
      </c>
      <c r="K36" s="193">
        <f>IFERROR(IF(OR(D36="",G36=""),"",D36-G36),"")</f>
        <v/>
      </c>
      <c r="M36" s="197">
        <f>(B36/$C$19)</f>
        <v/>
      </c>
      <c r="P36" s="198">
        <f>(E36/$F$19)</f>
        <v/>
      </c>
    </row>
    <row r="37" ht="16.5" customHeight="1" s="127">
      <c r="A37" s="67" t="inlineStr">
        <is>
          <t xml:space="preserve">      포      장      비</t>
        </is>
      </c>
      <c r="B37" s="194">
        <f>IFERROR(INDEX(손익계산서!$B:$B,MATCH($I37,손익계산서!$G:$G,0)),0)</f>
        <v/>
      </c>
      <c r="C37" s="194">
        <f>IFERROR(INDEX(손익계산서!$C:$C,MATCH($I37,손익계산서!$G:$G,0)),0)</f>
        <v/>
      </c>
      <c r="D37" s="96">
        <f>B37/$C$9</f>
        <v/>
      </c>
      <c r="E37" s="194">
        <f>IFERROR(INDEX(손익계산서!$D:$D,MATCH($I37,손익계산서!$G:$G,0)),0)</f>
        <v/>
      </c>
      <c r="F37" s="194">
        <f>IFERROR(INDEX(손익계산서!$E:$E,MATCH($I37,손익계산서!$G:$G,0)),0)</f>
        <v/>
      </c>
      <c r="G37" s="96">
        <f>E37/F$9</f>
        <v/>
      </c>
      <c r="H37">
        <f>SUBSTITUTE(A37," ","")</f>
        <v/>
      </c>
      <c r="I37">
        <f>H37&amp;"|"&amp;COUNTIF($H$9:H37,H37)</f>
        <v/>
      </c>
      <c r="J37" s="93">
        <f>IF($A37="","",IF(ISNUMBER(MATCH($I37,손익계산서!$G:$G,0)),"✓ 일치","⚠ 확인필요"))</f>
        <v/>
      </c>
      <c r="K37" s="193">
        <f>IFERROR(IF(OR(D37="",G37=""),"",D37-G37),"")</f>
        <v/>
      </c>
      <c r="M37" s="197">
        <f>(B37/$C$19)</f>
        <v/>
      </c>
      <c r="P37" s="198">
        <f>(E37/$F$19)</f>
        <v/>
      </c>
    </row>
    <row r="38" ht="16.5" customHeight="1" s="127">
      <c r="A38" s="67" t="inlineStr">
        <is>
          <t xml:space="preserve">      소    모   품   비</t>
        </is>
      </c>
      <c r="B38" s="194">
        <f>IFERROR(INDEX(손익계산서!$B:$B,MATCH($I38,손익계산서!$G:$G,0)),0)</f>
        <v/>
      </c>
      <c r="C38" s="194">
        <f>IFERROR(INDEX(손익계산서!$C:$C,MATCH($I38,손익계산서!$G:$G,0)),0)</f>
        <v/>
      </c>
      <c r="D38" s="96">
        <f>B38/$C$9</f>
        <v/>
      </c>
      <c r="E38" s="194">
        <f>IFERROR(INDEX(손익계산서!$D:$D,MATCH($I38,손익계산서!$G:$G,0)),0)</f>
        <v/>
      </c>
      <c r="F38" s="194">
        <f>IFERROR(INDEX(손익계산서!$E:$E,MATCH($I38,손익계산서!$G:$G,0)),0)</f>
        <v/>
      </c>
      <c r="G38" s="96">
        <f>E38/F$9</f>
        <v/>
      </c>
      <c r="H38">
        <f>SUBSTITUTE(A38," ","")</f>
        <v/>
      </c>
      <c r="I38">
        <f>H38&amp;"|"&amp;COUNTIF($H$9:H38,H38)</f>
        <v/>
      </c>
      <c r="J38" s="93">
        <f>IF($A38="","",IF(ISNUMBER(MATCH($I38,손익계산서!$G:$G,0)),"✓ 일치","⚠ 확인필요"))</f>
        <v/>
      </c>
      <c r="K38" s="193">
        <f>IFERROR(IF(OR(D38="",G38=""),"",D38-G38),"")</f>
        <v/>
      </c>
      <c r="M38" s="197">
        <f>(B38/$C$19)</f>
        <v/>
      </c>
      <c r="P38" s="198">
        <f>(E38/$F$19)</f>
        <v/>
      </c>
    </row>
    <row r="39" ht="16.5" customHeight="1" s="127">
      <c r="A39" s="67" t="inlineStr">
        <is>
          <t xml:space="preserve">      지  급  수  수  료</t>
        </is>
      </c>
      <c r="B39" s="194">
        <f>IFERROR(INDEX(손익계산서!$B:$B,MATCH($I39,손익계산서!$G:$G,0)),0)</f>
        <v/>
      </c>
      <c r="C39" s="194">
        <f>IFERROR(INDEX(손익계산서!$C:$C,MATCH($I39,손익계산서!$G:$G,0)),0)</f>
        <v/>
      </c>
      <c r="D39" s="96">
        <f>B39/$C$9</f>
        <v/>
      </c>
      <c r="E39" s="194">
        <f>IFERROR(INDEX(손익계산서!$D:$D,MATCH($I39,손익계산서!$G:$G,0)),0)</f>
        <v/>
      </c>
      <c r="F39" s="194">
        <f>IFERROR(INDEX(손익계산서!$E:$E,MATCH($I39,손익계산서!$G:$G,0)),0)</f>
        <v/>
      </c>
      <c r="G39" s="96">
        <f>E39/F$9</f>
        <v/>
      </c>
      <c r="H39">
        <f>SUBSTITUTE(A39," ","")</f>
        <v/>
      </c>
      <c r="I39">
        <f>H39&amp;"|"&amp;COUNTIF($H$9:H39,H39)</f>
        <v/>
      </c>
      <c r="J39" s="93">
        <f>IF($A39="","",IF(ISNUMBER(MATCH($I39,손익계산서!$G:$G,0)),"✓ 일치","⚠ 확인필요"))</f>
        <v/>
      </c>
      <c r="K39" s="193">
        <f>IFERROR(IF(OR(D39="",G39=""),"",D39-G39),"")</f>
        <v/>
      </c>
      <c r="M39" s="195">
        <f>(B39/$C$19)</f>
        <v/>
      </c>
      <c r="P39" s="195">
        <f>(E39/$F$19)</f>
        <v/>
      </c>
    </row>
    <row r="40" ht="16.5" customHeight="1" s="127">
      <c r="A40" s="67" t="inlineStr">
        <is>
          <t xml:space="preserve">      대  손  상  각  비</t>
        </is>
      </c>
      <c r="B40" s="194">
        <f>IFERROR(INDEX(손익계산서!$B:$B,MATCH($I40,손익계산서!$G:$G,0)),0)</f>
        <v/>
      </c>
      <c r="C40" s="194">
        <f>IFERROR(INDEX(손익계산서!$C:$C,MATCH($I40,손익계산서!$G:$G,0)),0)</f>
        <v/>
      </c>
      <c r="D40" s="96">
        <f>B40/$C$9</f>
        <v/>
      </c>
      <c r="E40" s="194">
        <f>IFERROR(INDEX(손익계산서!$D:$D,MATCH($I40,손익계산서!$G:$G,0)),0)</f>
        <v/>
      </c>
      <c r="F40" s="194">
        <f>IFERROR(INDEX(손익계산서!$E:$E,MATCH($I40,손익계산서!$G:$G,0)),0)</f>
        <v/>
      </c>
      <c r="G40" s="96">
        <f>E40/F$9</f>
        <v/>
      </c>
      <c r="H40">
        <f>SUBSTITUTE(A40," ","")</f>
        <v/>
      </c>
      <c r="I40">
        <f>H40&amp;"|"&amp;COUNTIF($H$9:H40,H40)</f>
        <v/>
      </c>
      <c r="J40" s="93">
        <f>IF($A40="","",IF(ISNUMBER(MATCH($I40,손익계산서!$G:$G,0)),"✓ 일치","⚠ 확인필요"))</f>
        <v/>
      </c>
      <c r="K40" s="193">
        <f>IFERROR(IF(OR(D40="",G40=""),"",D40-G40),"")</f>
        <v/>
      </c>
      <c r="M40" s="197">
        <f>(B40/$C$19)</f>
        <v/>
      </c>
      <c r="P40" s="198">
        <f>(E40/$F$19)</f>
        <v/>
      </c>
    </row>
    <row r="41" ht="17.25" customHeight="1" s="127">
      <c r="A41" s="67" t="inlineStr">
        <is>
          <t xml:space="preserve">      수  출  제  비  용</t>
        </is>
      </c>
      <c r="B41" s="194">
        <f>IFERROR(INDEX(손익계산서!$B:$B,MATCH($I41,손익계산서!$G:$G,0)),0)</f>
        <v/>
      </c>
      <c r="C41" s="194">
        <f>IFERROR(INDEX(손익계산서!$C:$C,MATCH($I41,손익계산서!$G:$G,0)),0)</f>
        <v/>
      </c>
      <c r="D41" s="96">
        <f>B41/$C$9</f>
        <v/>
      </c>
      <c r="E41" s="194">
        <f>IFERROR(INDEX(손익계산서!$D:$D,MATCH($I41,손익계산서!$G:$G,0)),0)</f>
        <v/>
      </c>
      <c r="F41" s="194">
        <f>IFERROR(INDEX(손익계산서!$E:$E,MATCH($I41,손익계산서!$G:$G,0)),0)</f>
        <v/>
      </c>
      <c r="G41" s="96">
        <f>E41/F$9</f>
        <v/>
      </c>
      <c r="H41">
        <f>SUBSTITUTE(A41," ","")</f>
        <v/>
      </c>
      <c r="I41">
        <f>H41&amp;"|"&amp;COUNTIF($H$9:H41,H41)</f>
        <v/>
      </c>
      <c r="J41" s="93">
        <f>IF($A41="","",IF(ISNUMBER(MATCH($I41,손익계산서!$G:$G,0)),"✓ 일치","⚠ 확인필요"))</f>
        <v/>
      </c>
      <c r="K41" s="193">
        <f>IFERROR(IF(OR(D41="",G41=""),"",D41-G41),"")</f>
        <v/>
      </c>
      <c r="M41" s="197">
        <f>(B41/$C$19)</f>
        <v/>
      </c>
      <c r="P41" s="198">
        <f>(E41/$F$19)</f>
        <v/>
      </c>
    </row>
    <row r="42" ht="16.5" customHeight="1" s="127">
      <c r="A42" s="74" t="inlineStr">
        <is>
          <t>Ⅴ  . 영    업   이   익</t>
        </is>
      </c>
      <c r="B42" s="192">
        <f>IFERROR(INDEX(손익계산서!$B:$B,MATCH($I42,손익계산서!$G:$G,0)),0)</f>
        <v/>
      </c>
      <c r="C42" s="192">
        <f>IFERROR(INDEX(손익계산서!$C:$C,MATCH($I42,손익계산서!$G:$G,0)),0)</f>
        <v/>
      </c>
      <c r="D42" s="92">
        <f>C42/C9</f>
        <v/>
      </c>
      <c r="E42" s="192">
        <f>IFERROR(INDEX(손익계산서!$D:$D,MATCH($I42,손익계산서!$G:$G,0)),0)</f>
        <v/>
      </c>
      <c r="F42" s="192">
        <f>IFERROR(INDEX(손익계산서!$E:$E,MATCH($I42,손익계산서!$G:$G,0)),0)</f>
        <v/>
      </c>
      <c r="G42" s="92">
        <f>F42/F9</f>
        <v/>
      </c>
      <c r="H42">
        <f>SUBSTITUTE(A42," ","")</f>
        <v/>
      </c>
      <c r="I42">
        <f>H42&amp;"|"&amp;COUNTIF($H$9:H42,H42)</f>
        <v/>
      </c>
      <c r="J42" s="93">
        <f>IF($A42="","",IF(ISNUMBER(MATCH($I42,손익계산서!$G:$G,0)),"✓ 일치","⚠ 확인필요"))</f>
        <v/>
      </c>
      <c r="K42" s="193">
        <f>IFERROR(IF(OR(D42="",G42=""),"",D42-G42),"")</f>
        <v/>
      </c>
    </row>
    <row r="43" ht="16.5" customHeight="1" s="127">
      <c r="A43" s="74" t="inlineStr">
        <is>
          <t>Ⅵ  . 영  업  외  수  익</t>
        </is>
      </c>
      <c r="B43" s="192">
        <f>IFERROR(INDEX(손익계산서!$B:$B,MATCH($I43,손익계산서!$G:$G,0)),0)</f>
        <v/>
      </c>
      <c r="C43" s="192">
        <f>IFERROR(INDEX(손익계산서!$C:$C,MATCH($I43,손익계산서!$G:$G,0)),0)</f>
        <v/>
      </c>
      <c r="D43" s="92">
        <f>C43/$C$9</f>
        <v/>
      </c>
      <c r="E43" s="192">
        <f>IFERROR(INDEX(손익계산서!$D:$D,MATCH($I43,손익계산서!$G:$G,0)),0)</f>
        <v/>
      </c>
      <c r="F43" s="192">
        <f>IFERROR(INDEX(손익계산서!$E:$E,MATCH($I43,손익계산서!$G:$G,0)),0)</f>
        <v/>
      </c>
      <c r="G43" s="92">
        <f>F43/$F$9</f>
        <v/>
      </c>
      <c r="H43">
        <f>SUBSTITUTE(A43," ","")</f>
        <v/>
      </c>
      <c r="I43">
        <f>H43&amp;"|"&amp;COUNTIF($H$9:H43,H43)</f>
        <v/>
      </c>
      <c r="J43" s="93">
        <f>IF($A43="","",IF(ISNUMBER(MATCH($I43,손익계산서!$G:$G,0)),"✓ 일치","⚠ 확인필요"))</f>
        <v/>
      </c>
      <c r="K43" s="193">
        <f>IFERROR(IF(OR(D43="",G43=""),"",D43-G43),"")</f>
        <v/>
      </c>
    </row>
    <row r="44" ht="16.5" customHeight="1" s="127">
      <c r="A44" s="67" t="inlineStr">
        <is>
          <t xml:space="preserve">      이    자   수   익</t>
        </is>
      </c>
      <c r="B44" s="194">
        <f>IFERROR(INDEX(손익계산서!$B:$B,MATCH($I44,손익계산서!$G:$G,0)),0)</f>
        <v/>
      </c>
      <c r="C44" s="194">
        <f>IFERROR(INDEX(손익계산서!$C:$C,MATCH($I44,손익계산서!$G:$G,0)),0)</f>
        <v/>
      </c>
      <c r="D44" s="96">
        <f>B44/$C$9</f>
        <v/>
      </c>
      <c r="E44" s="194">
        <f>IFERROR(INDEX(손익계산서!$D:$D,MATCH($I44,손익계산서!$G:$G,0)),0)</f>
        <v/>
      </c>
      <c r="F44" s="194">
        <f>IFERROR(INDEX(손익계산서!$E:$E,MATCH($I44,손익계산서!$G:$G,0)),0)</f>
        <v/>
      </c>
      <c r="G44" s="96">
        <f>E44/F$9</f>
        <v/>
      </c>
      <c r="H44">
        <f>SUBSTITUTE(A44," ","")</f>
        <v/>
      </c>
      <c r="I44">
        <f>H44&amp;"|"&amp;COUNTIF($H$9:H44,H44)</f>
        <v/>
      </c>
      <c r="J44" s="93">
        <f>IF($A44="","",IF(ISNUMBER(MATCH($I44,손익계산서!$G:$G,0)),"✓ 일치","⚠ 확인필요"))</f>
        <v/>
      </c>
      <c r="K44" s="193">
        <f>IFERROR(IF(OR(D44="",G44=""),"",D44-G44),"")</f>
        <v/>
      </c>
    </row>
    <row r="45" ht="16.5" customHeight="1" s="127">
      <c r="A45" s="67" t="inlineStr">
        <is>
          <t xml:space="preserve">      외    환  차    익</t>
        </is>
      </c>
      <c r="B45" s="194">
        <f>IFERROR(INDEX(손익계산서!$B:$B,MATCH($I45,손익계산서!$G:$G,0)),0)</f>
        <v/>
      </c>
      <c r="C45" s="194">
        <f>IFERROR(INDEX(손익계산서!$C:$C,MATCH($I45,손익계산서!$G:$G,0)),0)</f>
        <v/>
      </c>
      <c r="D45" s="96">
        <f>B45/$C$9</f>
        <v/>
      </c>
      <c r="E45" s="194">
        <f>IFERROR(INDEX(손익계산서!$D:$D,MATCH($I45,손익계산서!$G:$G,0)),0)</f>
        <v/>
      </c>
      <c r="F45" s="194">
        <f>IFERROR(INDEX(손익계산서!$E:$E,MATCH($I45,손익계산서!$G:$G,0)),0)</f>
        <v/>
      </c>
      <c r="G45" s="96">
        <f>E45/F$9</f>
        <v/>
      </c>
      <c r="H45">
        <f>SUBSTITUTE(A45," ","")</f>
        <v/>
      </c>
      <c r="I45">
        <f>H45&amp;"|"&amp;COUNTIF($H$9:H45,H45)</f>
        <v/>
      </c>
      <c r="J45" s="93">
        <f>IF($A45="","",IF(ISNUMBER(MATCH($I45,손익계산서!$G:$G,0)),"✓ 일치","⚠ 확인필요"))</f>
        <v/>
      </c>
      <c r="K45" s="193">
        <f>IFERROR(IF(OR(D45="",G45=""),"",D45-G45),"")</f>
        <v/>
      </c>
    </row>
    <row r="46" ht="16.5" customHeight="1" s="127">
      <c r="A46" s="67" t="inlineStr">
        <is>
          <t xml:space="preserve">      외 화 환 산 이  익</t>
        </is>
      </c>
      <c r="B46" s="194">
        <f>IFERROR(INDEX(손익계산서!$B:$B,MATCH($I46,손익계산서!$G:$G,0)),0)</f>
        <v/>
      </c>
      <c r="C46" s="194">
        <f>IFERROR(INDEX(손익계산서!$C:$C,MATCH($I46,손익계산서!$G:$G,0)),0)</f>
        <v/>
      </c>
      <c r="D46" s="96">
        <f>B46/$C$9</f>
        <v/>
      </c>
      <c r="E46" s="194">
        <f>IFERROR(INDEX(손익계산서!$D:$D,MATCH($I46,손익계산서!$G:$G,0)),0)</f>
        <v/>
      </c>
      <c r="F46" s="194">
        <f>IFERROR(INDEX(손익계산서!$E:$E,MATCH($I46,손익계산서!$G:$G,0)),0)</f>
        <v/>
      </c>
      <c r="G46" s="96">
        <f>E46/F$9</f>
        <v/>
      </c>
      <c r="H46">
        <f>SUBSTITUTE(A46," ","")</f>
        <v/>
      </c>
      <c r="I46">
        <f>H46&amp;"|"&amp;COUNTIF($H$9:H46,H46)</f>
        <v/>
      </c>
      <c r="J46" s="93">
        <f>IF($A46="","",IF(ISNUMBER(MATCH($I46,손익계산서!$G:$G,0)),"✓ 일치","⚠ 확인필요"))</f>
        <v/>
      </c>
      <c r="K46" s="193">
        <f>IFERROR(IF(OR(D46="",G46=""),"",D46-G46),"")</f>
        <v/>
      </c>
    </row>
    <row r="47" ht="16.5" customHeight="1" s="127">
      <c r="A47" s="67" t="inlineStr">
        <is>
          <t xml:space="preserve">      유형자산  처분이익</t>
        </is>
      </c>
      <c r="B47" s="194">
        <f>IFERROR(INDEX(손익계산서!$B:$B,MATCH($I47,손익계산서!$G:$G,0)),0)</f>
        <v/>
      </c>
      <c r="C47" s="194">
        <f>IFERROR(INDEX(손익계산서!$C:$C,MATCH($I47,손익계산서!$G:$G,0)),0)</f>
        <v/>
      </c>
      <c r="D47" s="96">
        <f>B47/$C$9</f>
        <v/>
      </c>
      <c r="E47" s="194">
        <f>IFERROR(INDEX(손익계산서!$D:$D,MATCH($I47,손익계산서!$G:$G,0)),0)</f>
        <v/>
      </c>
      <c r="F47" s="194">
        <f>IFERROR(INDEX(손익계산서!$E:$E,MATCH($I47,손익계산서!$G:$G,0)),0)</f>
        <v/>
      </c>
      <c r="G47" s="96">
        <f>E47/F$9</f>
        <v/>
      </c>
      <c r="H47">
        <f>SUBSTITUTE(A47," ","")</f>
        <v/>
      </c>
      <c r="I47">
        <f>H47&amp;"|"&amp;COUNTIF($H$9:H47,H47)</f>
        <v/>
      </c>
      <c r="J47" s="93">
        <f>IF($A47="","",IF(ISNUMBER(MATCH($I47,손익계산서!$G:$G,0)),"✓ 일치","⚠ 확인필요"))</f>
        <v/>
      </c>
      <c r="K47" s="193">
        <f>IFERROR(IF(OR(D47="",G47=""),"",D47-G47),"")</f>
        <v/>
      </c>
    </row>
    <row r="48" ht="16.5" customHeight="1" s="127">
      <c r="A48" s="67" t="inlineStr">
        <is>
          <t xml:space="preserve">      투자자산  처분이익</t>
        </is>
      </c>
      <c r="B48" s="194">
        <f>IFERROR(INDEX(손익계산서!$B:$B,MATCH($I48,손익계산서!$G:$G,0)),0)</f>
        <v/>
      </c>
      <c r="C48" s="194">
        <f>IFERROR(INDEX(손익계산서!$C:$C,MATCH($I48,손익계산서!$G:$G,0)),0)</f>
        <v/>
      </c>
      <c r="D48" s="96">
        <f>B48/$C$9</f>
        <v/>
      </c>
      <c r="E48" s="194">
        <f>IFERROR(INDEX(손익계산서!$D:$D,MATCH($I48,손익계산서!$G:$G,0)),0)</f>
        <v/>
      </c>
      <c r="F48" s="194">
        <f>IFERROR(INDEX(손익계산서!$E:$E,MATCH($I48,손익계산서!$G:$G,0)),0)</f>
        <v/>
      </c>
      <c r="G48" s="96">
        <f>E48/F$9</f>
        <v/>
      </c>
      <c r="H48">
        <f>SUBSTITUTE(A48," ","")</f>
        <v/>
      </c>
      <c r="I48">
        <f>H48&amp;"|"&amp;COUNTIF($H$9:H48,H48)</f>
        <v/>
      </c>
      <c r="J48" s="93">
        <f>IF($A48="","",IF(ISNUMBER(MATCH($I48,손익계산서!$G:$G,0)),"✓ 일치","⚠ 확인필요"))</f>
        <v/>
      </c>
      <c r="K48" s="193">
        <f>IFERROR(IF(OR(D48="",G48=""),"",D48-G48),"")</f>
        <v/>
      </c>
    </row>
    <row r="49" ht="16.5" customHeight="1" s="127">
      <c r="A49" s="67" t="inlineStr">
        <is>
          <t xml:space="preserve">      금융상품  처분이익</t>
        </is>
      </c>
      <c r="B49" s="194">
        <f>IFERROR(INDEX(손익계산서!$B:$B,MATCH($I49,손익계산서!$G:$G,0)),0)</f>
        <v/>
      </c>
      <c r="C49" s="194">
        <f>IFERROR(INDEX(손익계산서!$C:$C,MATCH($I49,손익계산서!$G:$G,0)),0)</f>
        <v/>
      </c>
      <c r="D49" s="96">
        <f>B49/$C$9</f>
        <v/>
      </c>
      <c r="E49" s="194">
        <f>IFERROR(INDEX(손익계산서!$D:$D,MATCH($I49,손익계산서!$G:$G,0)),0)</f>
        <v/>
      </c>
      <c r="F49" s="194">
        <f>IFERROR(INDEX(손익계산서!$E:$E,MATCH($I49,손익계산서!$G:$G,0)),0)</f>
        <v/>
      </c>
      <c r="G49" s="96">
        <f>E49/F$9</f>
        <v/>
      </c>
      <c r="H49">
        <f>SUBSTITUTE(A49," ","")</f>
        <v/>
      </c>
      <c r="I49">
        <f>H49&amp;"|"&amp;COUNTIF($H$9:H49,H49)</f>
        <v/>
      </c>
      <c r="J49" s="93">
        <f>IF($A49="","",IF(ISNUMBER(MATCH($I49,손익계산서!$G:$G,0)),"✓ 일치","⚠ 확인필요"))</f>
        <v/>
      </c>
      <c r="K49" s="193">
        <f>IFERROR(IF(OR(D49="",G49=""),"",D49-G49),"")</f>
        <v/>
      </c>
    </row>
    <row r="50" ht="16.5" customHeight="1" s="127">
      <c r="A50" s="67" t="inlineStr">
        <is>
          <t xml:space="preserve">      잡      이      익</t>
        </is>
      </c>
      <c r="B50" s="194">
        <f>IFERROR(INDEX(손익계산서!$B:$B,MATCH($I50,손익계산서!$G:$G,0)),0)</f>
        <v/>
      </c>
      <c r="C50" s="194">
        <f>IFERROR(INDEX(손익계산서!$C:$C,MATCH($I50,손익계산서!$G:$G,0)),0)</f>
        <v/>
      </c>
      <c r="D50" s="96">
        <f>B50/$C$9</f>
        <v/>
      </c>
      <c r="E50" s="194">
        <f>IFERROR(INDEX(손익계산서!$D:$D,MATCH($I50,손익계산서!$G:$G,0)),0)</f>
        <v/>
      </c>
      <c r="F50" s="194">
        <f>IFERROR(INDEX(손익계산서!$E:$E,MATCH($I50,손익계산서!$G:$G,0)),0)</f>
        <v/>
      </c>
      <c r="G50" s="96">
        <f>E50/F$9</f>
        <v/>
      </c>
      <c r="H50">
        <f>SUBSTITUTE(A50," ","")</f>
        <v/>
      </c>
      <c r="I50">
        <f>H50&amp;"|"&amp;COUNTIF($H$9:H50,H50)</f>
        <v/>
      </c>
      <c r="J50" s="93">
        <f>IF($A50="","",IF(ISNUMBER(MATCH($I50,손익계산서!$G:$G,0)),"✓ 일치","⚠ 확인필요"))</f>
        <v/>
      </c>
      <c r="K50" s="193">
        <f>IFERROR(IF(OR(D50="",G50=""),"",D50-G50),"")</f>
        <v/>
      </c>
    </row>
    <row r="51" ht="16.5" customHeight="1" s="127">
      <c r="A51" s="74" t="inlineStr">
        <is>
          <t>Ⅶ  . 영  업  외  비  용</t>
        </is>
      </c>
      <c r="B51" s="192">
        <f>IFERROR(INDEX(손익계산서!$B:$B,MATCH($I51,손익계산서!$G:$G,0)),0)</f>
        <v/>
      </c>
      <c r="C51" s="192">
        <f>IFERROR(INDEX(손익계산서!$C:$C,MATCH($I51,손익계산서!$G:$G,0)),0)</f>
        <v/>
      </c>
      <c r="D51" s="92">
        <f>C51/$C$9</f>
        <v/>
      </c>
      <c r="E51" s="192">
        <f>IFERROR(INDEX(손익계산서!$D:$D,MATCH($I51,손익계산서!$G:$G,0)),0)</f>
        <v/>
      </c>
      <c r="F51" s="192">
        <f>IFERROR(INDEX(손익계산서!$E:$E,MATCH($I51,손익계산서!$G:$G,0)),0)</f>
        <v/>
      </c>
      <c r="G51" s="92">
        <f>F51/F$9</f>
        <v/>
      </c>
      <c r="H51">
        <f>SUBSTITUTE(A51," ","")</f>
        <v/>
      </c>
      <c r="I51">
        <f>H51&amp;"|"&amp;COUNTIF($H$9:H51,H51)</f>
        <v/>
      </c>
      <c r="J51" s="93">
        <f>IF($A51="","",IF(ISNUMBER(MATCH($I51,손익계산서!$G:$G,0)),"✓ 일치","⚠ 확인필요"))</f>
        <v/>
      </c>
      <c r="K51" s="193">
        <f>IFERROR(IF(OR(D51="",G51=""),"",D51-G51),"")</f>
        <v/>
      </c>
    </row>
    <row r="52" ht="16.5" customHeight="1" s="127">
      <c r="A52" s="67" t="inlineStr">
        <is>
          <t xml:space="preserve">      이   자    비   용</t>
        </is>
      </c>
      <c r="B52" s="194">
        <f>IFERROR(INDEX(손익계산서!$B:$B,MATCH($I52,손익계산서!$G:$G,0)),0)</f>
        <v/>
      </c>
      <c r="C52" s="194">
        <f>IFERROR(INDEX(손익계산서!$C:$C,MATCH($I52,손익계산서!$G:$G,0)),0)</f>
        <v/>
      </c>
      <c r="D52" s="96">
        <f>B52/$C$9</f>
        <v/>
      </c>
      <c r="E52" s="194">
        <f>IFERROR(INDEX(손익계산서!$D:$D,MATCH($I52,손익계산서!$G:$G,0)),0)</f>
        <v/>
      </c>
      <c r="F52" s="194">
        <f>IFERROR(INDEX(손익계산서!$E:$E,MATCH($I52,손익계산서!$G:$G,0)),0)</f>
        <v/>
      </c>
      <c r="G52" s="96">
        <f>E52/F$9</f>
        <v/>
      </c>
      <c r="H52">
        <f>SUBSTITUTE(A52," ","")</f>
        <v/>
      </c>
      <c r="I52">
        <f>H52&amp;"|"&amp;COUNTIF($H$9:H52,H52)</f>
        <v/>
      </c>
      <c r="J52" s="93">
        <f>IF($A52="","",IF(ISNUMBER(MATCH($I52,손익계산서!$G:$G,0)),"✓ 일치","⚠ 확인필요"))</f>
        <v/>
      </c>
      <c r="K52" s="193">
        <f>IFERROR(IF(OR(D52="",G52=""),"",D52-G52),"")</f>
        <v/>
      </c>
    </row>
    <row r="53" ht="16.5" customHeight="1" s="127">
      <c r="A53" s="67" t="inlineStr">
        <is>
          <t xml:space="preserve">      외   환    차   손</t>
        </is>
      </c>
      <c r="B53" s="194">
        <f>IFERROR(INDEX(손익계산서!$B:$B,MATCH($I53,손익계산서!$G:$G,0)),0)</f>
        <v/>
      </c>
      <c r="C53" s="194">
        <f>IFERROR(INDEX(손익계산서!$C:$C,MATCH($I53,손익계산서!$G:$G,0)),0)</f>
        <v/>
      </c>
      <c r="D53" s="96">
        <f>B53/$C$9</f>
        <v/>
      </c>
      <c r="E53" s="194">
        <f>IFERROR(INDEX(손익계산서!$D:$D,MATCH($I53,손익계산서!$G:$G,0)),0)</f>
        <v/>
      </c>
      <c r="F53" s="194">
        <f>IFERROR(INDEX(손익계산서!$E:$E,MATCH($I53,손익계산서!$G:$G,0)),0)</f>
        <v/>
      </c>
      <c r="G53" s="96">
        <f>E53/F$9</f>
        <v/>
      </c>
      <c r="H53">
        <f>SUBSTITUTE(A53," ","")</f>
        <v/>
      </c>
      <c r="I53">
        <f>H53&amp;"|"&amp;COUNTIF($H$9:H53,H53)</f>
        <v/>
      </c>
      <c r="J53" s="93">
        <f>IF($A53="","",IF(ISNUMBER(MATCH($I53,손익계산서!$G:$G,0)),"✓ 일치","⚠ 확인필요"))</f>
        <v/>
      </c>
      <c r="K53" s="193">
        <f>IFERROR(IF(OR(D53="",G53=""),"",D53-G53),"")</f>
        <v/>
      </c>
    </row>
    <row r="54" ht="16.5" customHeight="1" s="127">
      <c r="A54" s="67" t="inlineStr">
        <is>
          <t xml:space="preserve">      외 화  환 산 손 실</t>
        </is>
      </c>
      <c r="B54" s="194">
        <f>IFERROR(INDEX(손익계산서!$B:$B,MATCH($I54,손익계산서!$G:$G,0)),0)</f>
        <v/>
      </c>
      <c r="C54" s="194">
        <f>IFERROR(INDEX(손익계산서!$C:$C,MATCH($I54,손익계산서!$G:$G,0)),0)</f>
        <v/>
      </c>
      <c r="D54" s="96">
        <f>B54/$C$9</f>
        <v/>
      </c>
      <c r="E54" s="194">
        <f>IFERROR(INDEX(손익계산서!$D:$D,MATCH($I54,손익계산서!$G:$G,0)),0)</f>
        <v/>
      </c>
      <c r="F54" s="194">
        <f>IFERROR(INDEX(손익계산서!$E:$E,MATCH($I54,손익계산서!$G:$G,0)),0)</f>
        <v/>
      </c>
      <c r="G54" s="96">
        <f>E54/F$9</f>
        <v/>
      </c>
      <c r="H54">
        <f>SUBSTITUTE(A54," ","")</f>
        <v/>
      </c>
      <c r="I54">
        <f>H54&amp;"|"&amp;COUNTIF($H$9:H54,H54)</f>
        <v/>
      </c>
      <c r="J54" s="93">
        <f>IF($A54="","",IF(ISNUMBER(MATCH($I54,손익계산서!$G:$G,0)),"✓ 일치","⚠ 확인필요"))</f>
        <v/>
      </c>
      <c r="K54" s="193">
        <f>IFERROR(IF(OR(D54="",G54=""),"",D54-G54),"")</f>
        <v/>
      </c>
    </row>
    <row r="55" ht="16.5" customHeight="1" s="127">
      <c r="A55" s="67" t="inlineStr">
        <is>
          <t xml:space="preserve">      금융상품  평가손실</t>
        </is>
      </c>
      <c r="B55" s="194">
        <f>IFERROR(INDEX(손익계산서!$B:$B,MATCH($I55,손익계산서!$G:$G,0)),0)</f>
        <v/>
      </c>
      <c r="C55" s="194">
        <f>IFERROR(INDEX(손익계산서!$C:$C,MATCH($I55,손익계산서!$G:$G,0)),0)</f>
        <v/>
      </c>
      <c r="D55" s="96">
        <f>B55/$C$9</f>
        <v/>
      </c>
      <c r="E55" s="194">
        <f>IFERROR(INDEX(손익계산서!$D:$D,MATCH($I55,손익계산서!$G:$G,0)),0)</f>
        <v/>
      </c>
      <c r="F55" s="194">
        <f>IFERROR(INDEX(손익계산서!$E:$E,MATCH($I55,손익계산서!$G:$G,0)),0)</f>
        <v/>
      </c>
      <c r="G55" s="96">
        <f>E55/F$9</f>
        <v/>
      </c>
      <c r="H55">
        <f>SUBSTITUTE(A55," ","")</f>
        <v/>
      </c>
      <c r="I55">
        <f>H55&amp;"|"&amp;COUNTIF($H$9:H55,H55)</f>
        <v/>
      </c>
      <c r="J55" s="93">
        <f>IF($A55="","",IF(ISNUMBER(MATCH($I55,손익계산서!$G:$G,0)),"✓ 일치","⚠ 확인필요"))</f>
        <v/>
      </c>
      <c r="K55" s="193">
        <f>IFERROR(IF(OR(D55="",G55=""),"",D55-G55),"")</f>
        <v/>
      </c>
    </row>
    <row r="56" ht="16.5" customHeight="1" s="127">
      <c r="A56" s="101" t="inlineStr">
        <is>
          <t xml:space="preserve">      유형자산  처분손실</t>
        </is>
      </c>
      <c r="B56" s="194">
        <f>IFERROR(INDEX(손익계산서!$B:$B,MATCH($I56,손익계산서!$G:$G,0)),0)</f>
        <v/>
      </c>
      <c r="C56" s="194">
        <f>IFERROR(INDEX(손익계산서!$C:$C,MATCH($I56,손익계산서!$G:$G,0)),0)</f>
        <v/>
      </c>
      <c r="D56" s="96">
        <f>B56/$C$9</f>
        <v/>
      </c>
      <c r="E56" s="194">
        <f>IFERROR(INDEX(손익계산서!$D:$D,MATCH($I56,손익계산서!$G:$G,0)),0)</f>
        <v/>
      </c>
      <c r="F56" s="194">
        <f>IFERROR(INDEX(손익계산서!$E:$E,MATCH($I56,손익계산서!$G:$G,0)),0)</f>
        <v/>
      </c>
      <c r="G56" s="96">
        <f>E56/F$9</f>
        <v/>
      </c>
      <c r="H56">
        <f>SUBSTITUTE(A56," ","")</f>
        <v/>
      </c>
      <c r="I56">
        <f>H56&amp;"|"&amp;COUNTIF($H$9:H56,H56)</f>
        <v/>
      </c>
      <c r="J56" s="93">
        <f>IF($A56="","",IF(ISNUMBER(MATCH($I56,손익계산서!$G:$G,0)),"✓ 일치","⚠ 확인필요"))</f>
        <v/>
      </c>
      <c r="K56" s="193">
        <f>IFERROR(IF(OR(D56="",G56=""),"",D56-G56),"")</f>
        <v/>
      </c>
    </row>
    <row r="57" ht="16.5" customHeight="1" s="127">
      <c r="A57" s="67" t="inlineStr">
        <is>
          <t xml:space="preserve">      잡      손      실</t>
        </is>
      </c>
      <c r="B57" s="194">
        <f>IFERROR(INDEX(손익계산서!$B:$B,MATCH($I57,손익계산서!$G:$G,0)),0)</f>
        <v/>
      </c>
      <c r="C57" s="194">
        <f>IFERROR(INDEX(손익계산서!$C:$C,MATCH($I57,손익계산서!$G:$G,0)),0)</f>
        <v/>
      </c>
      <c r="D57" s="96">
        <f>B57/$C$9</f>
        <v/>
      </c>
      <c r="E57" s="194">
        <f>IFERROR(INDEX(손익계산서!$D:$D,MATCH($I57,손익계산서!$G:$G,0)),0)</f>
        <v/>
      </c>
      <c r="F57" s="194">
        <f>IFERROR(INDEX(손익계산서!$E:$E,MATCH($I57,손익계산서!$G:$G,0)),0)</f>
        <v/>
      </c>
      <c r="G57" s="96">
        <f>E57/F$9</f>
        <v/>
      </c>
      <c r="H57">
        <f>SUBSTITUTE(A57," ","")</f>
        <v/>
      </c>
      <c r="I57">
        <f>H57&amp;"|"&amp;COUNTIF($H$9:H57,H57)</f>
        <v/>
      </c>
      <c r="J57" s="93">
        <f>IF($A57="","",IF(ISNUMBER(MATCH($I57,손익계산서!$G:$G,0)),"✓ 일치","⚠ 확인필요"))</f>
        <v/>
      </c>
      <c r="K57" s="193">
        <f>IFERROR(IF(OR(D57="",G57=""),"",D57-G57),"")</f>
        <v/>
      </c>
    </row>
    <row r="58" ht="17.25" customHeight="1" s="127">
      <c r="A58" s="67" t="inlineStr">
        <is>
          <t xml:space="preserve">      법 인 세  추 납 액</t>
        </is>
      </c>
      <c r="B58" s="194">
        <f>IFERROR(INDEX(손익계산서!$B:$B,MATCH($I58,손익계산서!$G:$G,0)),0)</f>
        <v/>
      </c>
      <c r="C58" s="194">
        <f>IFERROR(INDEX(손익계산서!$C:$C,MATCH($I58,손익계산서!$G:$G,0)),0)</f>
        <v/>
      </c>
      <c r="D58" s="96">
        <f>B58/$C$9</f>
        <v/>
      </c>
      <c r="E58" s="194">
        <f>IFERROR(INDEX(손익계산서!$D:$D,MATCH($I58,손익계산서!$G:$G,0)),0)</f>
        <v/>
      </c>
      <c r="F58" s="194">
        <f>IFERROR(INDEX(손익계산서!$E:$E,MATCH($I58,손익계산서!$G:$G,0)),0)</f>
        <v/>
      </c>
      <c r="G58" s="96">
        <f>E58/F$9</f>
        <v/>
      </c>
      <c r="H58">
        <f>SUBSTITUTE(A58," ","")</f>
        <v/>
      </c>
      <c r="I58">
        <f>H58&amp;"|"&amp;COUNTIF($H$9:H58,H58)</f>
        <v/>
      </c>
      <c r="J58" s="93">
        <f>IF($A58="","",IF(ISNUMBER(MATCH($I58,손익계산서!$G:$G,0)),"✓ 일치","⚠ 확인필요"))</f>
        <v/>
      </c>
      <c r="K58" s="193">
        <f>IFERROR(IF(OR(D58="",G58=""),"",D58-G58),"")</f>
        <v/>
      </c>
    </row>
    <row r="59" ht="16.5" customHeight="1" s="127">
      <c r="A59" s="74" t="inlineStr">
        <is>
          <t>Ⅷ  . 법인세비용차감전순이익</t>
        </is>
      </c>
      <c r="B59" s="192">
        <f>IFERROR(INDEX(손익계산서!$B:$B,MATCH($I59,손익계산서!$G:$G,0)),0)</f>
        <v/>
      </c>
      <c r="C59" s="192">
        <f>IFERROR(INDEX(손익계산서!$C:$C,MATCH($I59,손익계산서!$G:$G,0)),0)</f>
        <v/>
      </c>
      <c r="D59" s="92">
        <f>C59/C9</f>
        <v/>
      </c>
      <c r="E59" s="192">
        <f>IFERROR(INDEX(손익계산서!$D:$D,MATCH($I59,손익계산서!$G:$G,0)),0)</f>
        <v/>
      </c>
      <c r="F59" s="192">
        <f>IFERROR(INDEX(손익계산서!$E:$E,MATCH($I59,손익계산서!$G:$G,0)),0)</f>
        <v/>
      </c>
      <c r="G59" s="92">
        <f>F59/F9</f>
        <v/>
      </c>
      <c r="H59">
        <f>SUBSTITUTE(A59," ","")</f>
        <v/>
      </c>
      <c r="I59">
        <f>H59&amp;"|"&amp;COUNTIF($H$9:H59,H59)</f>
        <v/>
      </c>
      <c r="J59" s="93">
        <f>IF($A59="","",IF(ISNUMBER(MATCH($I59,손익계산서!$G:$G,0)),"✓ 일치","⚠ 확인필요"))</f>
        <v/>
      </c>
      <c r="K59" s="193">
        <f>IFERROR(IF(OR(D59="",G59=""),"",D59-G59),"")</f>
        <v/>
      </c>
    </row>
    <row r="60" ht="16.5" customHeight="1" s="127">
      <c r="A60" s="74" t="inlineStr">
        <is>
          <t>Ⅸ  . 법  인  세  비  용</t>
        </is>
      </c>
      <c r="B60" s="192">
        <f>IFERROR(INDEX(손익계산서!$B:$B,MATCH($I60,손익계산서!$G:$G,0)),0)</f>
        <v/>
      </c>
      <c r="C60" s="192">
        <f>IFERROR(INDEX(손익계산서!$C:$C,MATCH($I60,손익계산서!$G:$G,0)),0)</f>
        <v/>
      </c>
      <c r="D60" s="92">
        <f>C60/C9</f>
        <v/>
      </c>
      <c r="E60" s="192">
        <f>IFERROR(INDEX(손익계산서!$D:$D,MATCH($I60,손익계산서!$G:$G,0)),0)</f>
        <v/>
      </c>
      <c r="F60" s="192">
        <f>IFERROR(INDEX(손익계산서!$E:$E,MATCH($I60,손익계산서!$G:$G,0)),0)</f>
        <v/>
      </c>
      <c r="G60" s="92">
        <f>F60/F9</f>
        <v/>
      </c>
      <c r="H60">
        <f>SUBSTITUTE(A60," ","")</f>
        <v/>
      </c>
      <c r="I60">
        <f>H60&amp;"|"&amp;COUNTIF($H$9:H60,H60)</f>
        <v/>
      </c>
      <c r="J60" s="93">
        <f>IF($A60="","",IF(ISNUMBER(MATCH($I60,손익계산서!$G:$G,0)),"✓ 일치","⚠ 확인필요"))</f>
        <v/>
      </c>
      <c r="K60" s="193">
        <f>IFERROR(IF(OR(D60="",G60=""),"",D60-G60),"")</f>
        <v/>
      </c>
    </row>
    <row r="61" ht="17.25" customHeight="1" s="127">
      <c r="A61" s="67" t="inlineStr">
        <is>
          <t xml:space="preserve">      법   인   세    등</t>
        </is>
      </c>
      <c r="B61" s="194">
        <f>IFERROR(INDEX(손익계산서!$B:$B,MATCH($I61,손익계산서!$G:$G,0)),0)</f>
        <v/>
      </c>
      <c r="C61" s="194">
        <f>IFERROR(INDEX(손익계산서!$C:$C,MATCH($I61,손익계산서!$G:$G,0)),0)</f>
        <v/>
      </c>
      <c r="D61" s="96" t="n"/>
      <c r="E61" s="194">
        <f>IFERROR(INDEX(손익계산서!$D:$D,MATCH($I61,손익계산서!$G:$G,0)),0)</f>
        <v/>
      </c>
      <c r="F61" s="194">
        <f>IFERROR(INDEX(손익계산서!$E:$E,MATCH($I61,손익계산서!$G:$G,0)),0)</f>
        <v/>
      </c>
      <c r="G61" s="96" t="n"/>
      <c r="H61">
        <f>SUBSTITUTE(A61," ","")</f>
        <v/>
      </c>
      <c r="I61">
        <f>H61&amp;"|"&amp;COUNTIF($H$9:H61,H61)</f>
        <v/>
      </c>
      <c r="J61" s="93">
        <f>IF($A61="","",IF(ISNUMBER(MATCH($I61,손익계산서!$G:$G,0)),"✓ 일치","⚠ 확인필요"))</f>
        <v/>
      </c>
      <c r="K61" s="193">
        <f>IFERROR(IF(OR(D61="",G61=""),"",D61-G61),"")</f>
        <v/>
      </c>
    </row>
    <row r="62">
      <c r="A62" s="74" t="inlineStr">
        <is>
          <t>Ⅹ  . 당  기  순  이  익</t>
        </is>
      </c>
      <c r="B62" s="192">
        <f>IFERROR(INDEX(손익계산서!$B:$B,MATCH($I62,손익계산서!$G:$G,0)),0)</f>
        <v/>
      </c>
      <c r="C62" s="192">
        <f>IFERROR(INDEX(손익계산서!$C:$C,MATCH($I62,손익계산서!$G:$G,0)),0)</f>
        <v/>
      </c>
      <c r="D62" s="92">
        <f>C62/C9</f>
        <v/>
      </c>
      <c r="E62" s="192">
        <f>IFERROR(INDEX(손익계산서!$D:$D,MATCH($I62,손익계산서!$G:$G,0)),0)</f>
        <v/>
      </c>
      <c r="F62" s="192">
        <f>IFERROR(INDEX(손익계산서!$E:$E,MATCH($I62,손익계산서!$G:$G,0)),0)</f>
        <v/>
      </c>
      <c r="G62" s="92">
        <f>F62/F9</f>
        <v/>
      </c>
      <c r="H62">
        <f>SUBSTITUTE(A62," ","")</f>
        <v/>
      </c>
      <c r="I62">
        <f>H62&amp;"|"&amp;COUNTIF($H$9:H62,H62)</f>
        <v/>
      </c>
      <c r="J62" s="93">
        <f>IF($A62="","",IF(ISNUMBER(MATCH($I62,손익계산서!$G:$G,0)),"✓ 일치","⚠ 확인필요"))</f>
        <v/>
      </c>
      <c r="K62" s="193">
        <f>IFERROR(IF(OR(D62="",G62=""),"",D62-G62),"")</f>
        <v/>
      </c>
    </row>
  </sheetData>
  <mergeCells count="10">
    <mergeCell ref="A1:G1"/>
    <mergeCell ref="B7:C7"/>
    <mergeCell ref="E7:F7"/>
    <mergeCell ref="A3:G3"/>
    <mergeCell ref="A4:G4"/>
    <mergeCell ref="D7:D8"/>
    <mergeCell ref="A7:A8"/>
    <mergeCell ref="G7:G8"/>
    <mergeCell ref="B8:C8"/>
    <mergeCell ref="E8:F8"/>
  </mergeCells>
  <conditionalFormatting sqref="J9:J61">
    <cfRule type="expression" priority="5" dxfId="4">
      <formula>$J9="✓ 일치"</formula>
    </cfRule>
    <cfRule type="expression" priority="6" dxfId="3">
      <formula>$J9="⚠ 확인필요"</formula>
    </cfRule>
  </conditionalFormatting>
  <conditionalFormatting sqref="K9:K61">
    <cfRule type="cellIs" priority="2" operator="greaterThan" dxfId="2">
      <formula>0</formula>
    </cfRule>
    <cfRule type="cellIs" priority="3" operator="lessThan" dxfId="1">
      <formula>0</formula>
    </cfRule>
    <cfRule type="expression" priority="4" dxfId="0">
      <formula>ABS($K9)&gt;0.02</formula>
    </cfRule>
  </conditionalFormatting>
  <printOptions horizontalCentered="1"/>
  <pageMargins left="0.511805555555556" right="0.511805555555556" top="0.590277777777778" bottom="0.354861111111111" header="0.511811023622047" footer="0.315277777777778"/>
  <pageSetup orientation="portrait" paperSize="9" scale="77" verticalDpi="300"/>
  <headerFooter>
    <oddHeader/>
    <oddFooter>&amp;C&amp;P/1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CC00"/>
    <outlinePr summaryBelow="1" summaryRight="1"/>
    <pageSetUpPr/>
  </sheetPr>
  <dimension ref="A1:Q56"/>
  <sheetViews>
    <sheetView topLeftCell="A37" zoomScaleNormal="100" workbookViewId="0">
      <selection activeCell="K41" sqref="K41"/>
    </sheetView>
  </sheetViews>
  <sheetFormatPr baseColWidth="8" defaultColWidth="9.1640625" defaultRowHeight="11.25"/>
  <cols>
    <col width="30" customWidth="1" style="127" min="1" max="1"/>
    <col hidden="1" width="20" customWidth="1" style="127" min="2" max="8"/>
    <col width="22" customWidth="1" style="127" min="9" max="10"/>
    <col width="19.1640625" customWidth="1" style="127" min="11" max="11"/>
    <col width="13" customWidth="1" style="156" min="12" max="12"/>
    <col width="68.6640625" customWidth="1" style="153" min="13" max="13"/>
    <col hidden="1" width="13" customWidth="1" style="127" min="14" max="15"/>
    <col hidden="1" width="12" customWidth="1" style="127" min="16" max="16"/>
    <col hidden="1" width="11" customWidth="1" style="127" min="17" max="17"/>
  </cols>
  <sheetData>
    <row r="1" ht="24" customHeight="1" s="127">
      <c r="A1" s="149">
        <f>"손익계산서(전월대비 증감내역)"</f>
        <v/>
      </c>
    </row>
    <row r="2" ht="7.5" customHeight="1" s="127"/>
    <row r="3" ht="18.75" customHeight="1" s="127">
      <c r="A3" s="155">
        <f>"기간 : "&amp;TEXT(EOMONTH(인덱스!$K$1,-2)+1,"yyyy")&amp;"년"&amp;TEXT(MONTH(EOMONTH(인덱스!$K$1,-2)+1),"00")&amp;"월"&amp;TEXT(DAY(EOMONTH(인덱스!$K$1,-2)+1),"00")&amp;"일"&amp;"부터 - "&amp;TEXT(인덱스!$K$1,"yyyy")&amp;"년"&amp;TEXT(MONTH(인덱스!$K$1),"00")&amp;"월"&amp;TEXT(DAY(인덱스!$K$1),"00")&amp;"일"&amp;"까지"</f>
        <v/>
      </c>
    </row>
    <row r="5" ht="11.25" customHeight="1" s="127">
      <c r="A5" s="63" t="inlineStr">
        <is>
          <t>㈜창현</t>
        </is>
      </c>
      <c r="M5" s="103" t="inlineStr">
        <is>
          <t>단위 : 원</t>
        </is>
      </c>
    </row>
    <row r="6" ht="35.25" customHeight="1" s="127">
      <c r="A6" s="150" t="inlineStr">
        <is>
          <t>과  목</t>
        </is>
      </c>
      <c r="B6" s="150" t="inlineStr">
        <is>
          <t>계</t>
        </is>
      </c>
      <c r="C6" s="150" t="inlineStr">
        <is>
          <t>1월</t>
        </is>
      </c>
      <c r="D6" s="150" t="inlineStr">
        <is>
          <t>2월</t>
        </is>
      </c>
      <c r="E6" s="150" t="inlineStr">
        <is>
          <t>3월</t>
        </is>
      </c>
      <c r="F6" s="150" t="inlineStr">
        <is>
          <t>4월</t>
        </is>
      </c>
      <c r="G6" s="150" t="inlineStr">
        <is>
          <t>5월</t>
        </is>
      </c>
      <c r="H6" s="150" t="inlineStr">
        <is>
          <t>6월</t>
        </is>
      </c>
      <c r="I6" s="150">
        <f>"전월("&amp;MONTH(EOMONTH(인덱스!$K$1,-1))&amp;"월)"</f>
        <v/>
      </c>
      <c r="J6" s="150">
        <f>"당월("&amp;MONTH(인덱스!$K$1)&amp;"월)"</f>
        <v/>
      </c>
      <c r="K6" s="104" t="inlineStr">
        <is>
          <t>증감액                         (전월대비)</t>
        </is>
      </c>
      <c r="L6" s="104" t="inlineStr">
        <is>
          <t>증감                (전월대비)</t>
        </is>
      </c>
      <c r="M6" s="150" t="inlineStr">
        <is>
          <t>내역</t>
        </is>
      </c>
      <c r="P6" s="66" t="inlineStr">
        <is>
          <t>일치확인</t>
        </is>
      </c>
      <c r="Q6" s="66" t="inlineStr">
        <is>
          <t>증감률</t>
        </is>
      </c>
    </row>
    <row r="7" ht="22.5" customHeight="1" s="127">
      <c r="A7" s="105" t="inlineStr">
        <is>
          <t>Ⅰ  . 매      출      액</t>
        </is>
      </c>
      <c r="B7" s="192">
        <f>IFERROR(INDEX(기간별손익계산서!$B:$B,MATCH($O7,기간별손익계산서!$Q:$Q,0)),0)</f>
        <v/>
      </c>
      <c r="C7" s="192">
        <f>IFERROR(INDEX(기간별손익계산서!$C:$N,MATCH($O7,기간별손익계산서!$Q:$Q,0),1),0)</f>
        <v/>
      </c>
      <c r="D7" s="192">
        <f>IFERROR(INDEX(기간별손익계산서!$C:$N,MATCH($O7,기간별손익계산서!$Q:$Q,0),2),0)</f>
        <v/>
      </c>
      <c r="E7" s="192">
        <f>IFERROR(INDEX(기간별손익계산서!$C:$N,MATCH($O7,기간별손익계산서!$Q:$Q,0),3),0)</f>
        <v/>
      </c>
      <c r="F7" s="192">
        <f>IFERROR(INDEX(기간별손익계산서!$C:$N,MATCH($O7,기간별손익계산서!$Q:$Q,0),4),0)</f>
        <v/>
      </c>
      <c r="G7" s="192">
        <f>IFERROR(INDEX(기간별손익계산서!$C:$N,MATCH($O7,기간별손익계산서!$Q:$Q,0),5),0)</f>
        <v/>
      </c>
      <c r="H7" s="192">
        <f>IFERROR(INDEX(기간별손익계산서!$C:$N,MATCH($O7,기간별손익계산서!$Q:$Q,0),6),0)</f>
        <v/>
      </c>
      <c r="I7" s="192">
        <f>IFERROR(INDEX(기간별손익계산서!$C:$N,MATCH($O7,기간별손익계산서!$Q:$Q,0),MONTH(EOMONTH(인덱스!$K$1,-1))),0)</f>
        <v/>
      </c>
      <c r="J7" s="192">
        <f>IFERROR(INDEX(기간별손익계산서!$C:$N,MATCH($O7,기간별손익계산서!$Q:$Q,0),MONTH(인덱스!$K$1)),0)</f>
        <v/>
      </c>
      <c r="K7" s="192">
        <f>J7-I7</f>
        <v/>
      </c>
      <c r="L7" s="106">
        <f>IF(J7-I7&gt;0,"증가",IF(J7-I7=0,"변동없음","감소"))</f>
        <v/>
      </c>
      <c r="M7" s="107" t="n"/>
      <c r="N7">
        <f>SUBSTITUTE(A7," ","")</f>
        <v/>
      </c>
      <c r="O7">
        <f>N7&amp;"|"&amp;COUNTIF($N$7:N7,N7)</f>
        <v/>
      </c>
      <c r="P7" s="93">
        <f>IF($A7="","",IF(ISNUMBER(MATCH($O7,기간별손익계산서!$Q:$Q,0)),"✓ 일치","⚠ 확인필요"))</f>
        <v/>
      </c>
      <c r="Q7" s="193">
        <f>IFERROR(IF(I7=0,"",(J7-I7)/ABS(I7)),"")</f>
        <v/>
      </c>
    </row>
    <row r="8" ht="22.5" customHeight="1" s="127">
      <c r="A8" s="108" t="inlineStr">
        <is>
          <t xml:space="preserve">      상    품   매   출</t>
        </is>
      </c>
      <c r="B8" s="194">
        <f>IFERROR(INDEX(기간별손익계산서!$B:$B,MATCH($O8,기간별손익계산서!$Q:$Q,0)),0)</f>
        <v/>
      </c>
      <c r="C8" s="194">
        <f>IFERROR(INDEX(기간별손익계산서!$C:$N,MATCH($O8,기간별손익계산서!$Q:$Q,0),1),0)</f>
        <v/>
      </c>
      <c r="D8" s="194">
        <f>IFERROR(INDEX(기간별손익계산서!$C:$N,MATCH($O8,기간별손익계산서!$Q:$Q,0),2),0)</f>
        <v/>
      </c>
      <c r="E8" s="194">
        <f>IFERROR(INDEX(기간별손익계산서!$C:$N,MATCH($O8,기간별손익계산서!$Q:$Q,0),3),0)</f>
        <v/>
      </c>
      <c r="F8" s="194">
        <f>IFERROR(INDEX(기간별손익계산서!$C:$N,MATCH($O8,기간별손익계산서!$Q:$Q,0),4),0)</f>
        <v/>
      </c>
      <c r="G8" s="194">
        <f>IFERROR(INDEX(기간별손익계산서!$C:$N,MATCH($O8,기간별손익계산서!$Q:$Q,0),5),0)</f>
        <v/>
      </c>
      <c r="H8" s="194">
        <f>IFERROR(INDEX(기간별손익계산서!$C:$N,MATCH($O8,기간별손익계산서!$Q:$Q,0),6),0)</f>
        <v/>
      </c>
      <c r="I8" s="194">
        <f>IFERROR(INDEX(기간별손익계산서!$C:$N,MATCH($O8,기간별손익계산서!$Q:$Q,0),MONTH(EOMONTH(인덱스!$K$1,-1))),0)</f>
        <v/>
      </c>
      <c r="J8" s="194">
        <f>IFERROR(INDEX(기간별손익계산서!$C:$N,MATCH($O8,기간별손익계산서!$Q:$Q,0),MONTH(인덱스!$K$1)),0)</f>
        <v/>
      </c>
      <c r="K8" s="194">
        <f>J8-I8</f>
        <v/>
      </c>
      <c r="L8" s="109" t="n"/>
      <c r="M8" s="110" t="n"/>
      <c r="N8">
        <f>SUBSTITUTE(A8," ","")</f>
        <v/>
      </c>
      <c r="O8">
        <f>N8&amp;"|"&amp;COUNTIF($N$7:N8,N8)</f>
        <v/>
      </c>
      <c r="P8" s="93">
        <f>IF($A8="","",IF(ISNUMBER(MATCH($O8,기간별손익계산서!$Q:$Q,0)),"✓ 일치","⚠ 확인필요"))</f>
        <v/>
      </c>
      <c r="Q8" s="193">
        <f>IFERROR(IF(I8=0,"",(J8-I8)/ABS(I8)),"")</f>
        <v/>
      </c>
    </row>
    <row r="9" ht="22.5" customHeight="1" s="127">
      <c r="A9" s="108" t="inlineStr">
        <is>
          <t xml:space="preserve">      상 품  수 출 매 출</t>
        </is>
      </c>
      <c r="B9" s="199">
        <f>IFERROR(INDEX(기간별손익계산서!$B:$B,MATCH($O9,기간별손익계산서!$Q:$Q,0)),0)</f>
        <v/>
      </c>
      <c r="C9" s="199">
        <f>IFERROR(INDEX(기간별손익계산서!$C:$N,MATCH($O9,기간별손익계산서!$Q:$Q,0),1),0)</f>
        <v/>
      </c>
      <c r="D9" s="199">
        <f>IFERROR(INDEX(기간별손익계산서!$C:$N,MATCH($O9,기간별손익계산서!$Q:$Q,0),2),0)</f>
        <v/>
      </c>
      <c r="E9" s="199">
        <f>IFERROR(INDEX(기간별손익계산서!$C:$N,MATCH($O9,기간별손익계산서!$Q:$Q,0),3),0)</f>
        <v/>
      </c>
      <c r="F9" s="199">
        <f>IFERROR(INDEX(기간별손익계산서!$C:$N,MATCH($O9,기간별손익계산서!$Q:$Q,0),4),0)</f>
        <v/>
      </c>
      <c r="G9" s="199">
        <f>IFERROR(INDEX(기간별손익계산서!$C:$N,MATCH($O9,기간별손익계산서!$Q:$Q,0),5),0)</f>
        <v/>
      </c>
      <c r="H9" s="199">
        <f>IFERROR(INDEX(기간별손익계산서!$C:$N,MATCH($O9,기간별손익계산서!$Q:$Q,0),6),0)</f>
        <v/>
      </c>
      <c r="I9" s="194">
        <f>IFERROR(INDEX(기간별손익계산서!$C:$N,MATCH($O9,기간별손익계산서!$Q:$Q,0),MONTH(EOMONTH(인덱스!$K$1,-1))),0)</f>
        <v/>
      </c>
      <c r="J9" s="194">
        <f>IFERROR(INDEX(기간별손익계산서!$C:$N,MATCH($O9,기간별손익계산서!$Q:$Q,0),MONTH(인덱스!$K$1)),0)</f>
        <v/>
      </c>
      <c r="K9" s="194">
        <f>J9-I9</f>
        <v/>
      </c>
      <c r="L9" s="109" t="n"/>
      <c r="M9" s="110" t="n"/>
      <c r="N9">
        <f>SUBSTITUTE(A9," ","")</f>
        <v/>
      </c>
      <c r="O9">
        <f>N9&amp;"|"&amp;COUNTIF($N$7:N9,N9)</f>
        <v/>
      </c>
      <c r="P9" s="93">
        <f>IF($A9="","",IF(ISNUMBER(MATCH($O9,기간별손익계산서!$Q:$Q,0)),"✓ 일치","⚠ 확인필요"))</f>
        <v/>
      </c>
      <c r="Q9" s="193">
        <f>IFERROR(IF(I9=0,"",(J9-I9)/ABS(I9)),"")</f>
        <v/>
      </c>
    </row>
    <row r="10" ht="22.5" customHeight="1" s="127">
      <c r="A10" s="105" t="inlineStr">
        <is>
          <t>Ⅱ  . 매    출   원   가</t>
        </is>
      </c>
      <c r="B10" s="200">
        <f>IFERROR(INDEX(기간별손익계산서!$B:$B,MATCH($O10,기간별손익계산서!$Q:$Q,0)),0)</f>
        <v/>
      </c>
      <c r="C10" s="200">
        <f>IFERROR(INDEX(기간별손익계산서!$C:$N,MATCH($O10,기간별손익계산서!$Q:$Q,0),1),0)</f>
        <v/>
      </c>
      <c r="D10" s="200">
        <f>IFERROR(INDEX(기간별손익계산서!$C:$N,MATCH($O10,기간별손익계산서!$Q:$Q,0),2),0)</f>
        <v/>
      </c>
      <c r="E10" s="200">
        <f>IFERROR(INDEX(기간별손익계산서!$C:$N,MATCH($O10,기간별손익계산서!$Q:$Q,0),3),0)</f>
        <v/>
      </c>
      <c r="F10" s="200">
        <f>IFERROR(INDEX(기간별손익계산서!$C:$N,MATCH($O10,기간별손익계산서!$Q:$Q,0),4),0)</f>
        <v/>
      </c>
      <c r="G10" s="200">
        <f>IFERROR(INDEX(기간별손익계산서!$C:$N,MATCH($O10,기간별손익계산서!$Q:$Q,0),5),0)</f>
        <v/>
      </c>
      <c r="H10" s="200">
        <f>IFERROR(INDEX(기간별손익계산서!$C:$N,MATCH($O10,기간별손익계산서!$Q:$Q,0),6),0)</f>
        <v/>
      </c>
      <c r="I10" s="192">
        <f>IFERROR(INDEX(기간별손익계산서!$C:$N,MATCH($O10,기간별손익계산서!$Q:$Q,0),MONTH(EOMONTH(인덱스!$K$1,-1))),0)</f>
        <v/>
      </c>
      <c r="J10" s="192">
        <f>IFERROR(INDEX(기간별손익계산서!$C:$N,MATCH($O10,기간별손익계산서!$Q:$Q,0),MONTH(인덱스!$K$1)),0)</f>
        <v/>
      </c>
      <c r="K10" s="192">
        <f>J10-I10</f>
        <v/>
      </c>
      <c r="L10" s="106">
        <f>IF(J10-I10&gt;0,"증가",IF(J10-I10=0,"변동없음","감소"))</f>
        <v/>
      </c>
      <c r="M10" s="107" t="n"/>
      <c r="N10">
        <f>SUBSTITUTE(A10," ","")</f>
        <v/>
      </c>
      <c r="O10">
        <f>N10&amp;"|"&amp;COUNTIF($N$7:N10,N10)</f>
        <v/>
      </c>
      <c r="P10" s="93">
        <f>IF($A10="","",IF(ISNUMBER(MATCH($O10,기간별손익계산서!$Q:$Q,0)),"✓ 일치","⚠ 확인필요"))</f>
        <v/>
      </c>
      <c r="Q10" s="193">
        <f>IFERROR(IF(I10=0,"",(J10-I10)/ABS(I10)),"")</f>
        <v/>
      </c>
    </row>
    <row r="11" ht="22.5" customHeight="1" s="127">
      <c r="A11" s="108" t="inlineStr">
        <is>
          <t xml:space="preserve">      상 품 매 출  원 가</t>
        </is>
      </c>
      <c r="B11" s="199">
        <f>IFERROR(INDEX(기간별손익계산서!$B:$B,MATCH($O11,기간별손익계산서!$Q:$Q,0)),0)</f>
        <v/>
      </c>
      <c r="C11" s="199">
        <f>IFERROR(INDEX(기간별손익계산서!$C:$N,MATCH($O11,기간별손익계산서!$Q:$Q,0),1),0)</f>
        <v/>
      </c>
      <c r="D11" s="199">
        <f>IFERROR(INDEX(기간별손익계산서!$C:$N,MATCH($O11,기간별손익계산서!$Q:$Q,0),2),0)</f>
        <v/>
      </c>
      <c r="E11" s="199">
        <f>IFERROR(INDEX(기간별손익계산서!$C:$N,MATCH($O11,기간별손익계산서!$Q:$Q,0),3),0)</f>
        <v/>
      </c>
      <c r="F11" s="199">
        <f>IFERROR(INDEX(기간별손익계산서!$C:$N,MATCH($O11,기간별손익계산서!$Q:$Q,0),4),0)</f>
        <v/>
      </c>
      <c r="G11" s="199">
        <f>IFERROR(INDEX(기간별손익계산서!$C:$N,MATCH($O11,기간별손익계산서!$Q:$Q,0),5),0)</f>
        <v/>
      </c>
      <c r="H11" s="199">
        <f>IFERROR(INDEX(기간별손익계산서!$C:$N,MATCH($O11,기간별손익계산서!$Q:$Q,0),6),0)</f>
        <v/>
      </c>
      <c r="I11" s="194">
        <f>IFERROR(INDEX(기간별손익계산서!$C:$N,MATCH($O11,기간별손익계산서!$Q:$Q,0),MONTH(EOMONTH(인덱스!$K$1,-1))),0)</f>
        <v/>
      </c>
      <c r="J11" s="194">
        <f>IFERROR(INDEX(기간별손익계산서!$C:$N,MATCH($O11,기간별손익계산서!$Q:$Q,0),MONTH(인덱스!$K$1)),0)</f>
        <v/>
      </c>
      <c r="K11" s="194">
        <f>J11-I11</f>
        <v/>
      </c>
      <c r="L11" s="109" t="n"/>
      <c r="M11" s="110" t="n"/>
      <c r="N11">
        <f>SUBSTITUTE(A11," ","")</f>
        <v/>
      </c>
      <c r="O11">
        <f>N11&amp;"|"&amp;COUNTIF($N$7:N11,N11)</f>
        <v/>
      </c>
      <c r="P11" s="93">
        <f>IF($A11="","",IF(ISNUMBER(MATCH($O11,기간별손익계산서!$Q:$Q,0)),"✓ 일치","⚠ 확인필요"))</f>
        <v/>
      </c>
      <c r="Q11" s="193">
        <f>IFERROR(IF(I11=0,"",(J11-I11)/ABS(I11)),"")</f>
        <v/>
      </c>
    </row>
    <row r="12" ht="22.5" customHeight="1" s="127">
      <c r="A12" s="108" t="inlineStr">
        <is>
          <t xml:space="preserve">        기초  상품  재고액</t>
        </is>
      </c>
      <c r="B12" s="199">
        <f>IFERROR(INDEX(기간별손익계산서!$B:$B,MATCH($O12,기간별손익계산서!$Q:$Q,0)),0)</f>
        <v/>
      </c>
      <c r="C12" s="199">
        <f>IFERROR(INDEX(기간별손익계산서!$C:$N,MATCH($O12,기간별손익계산서!$Q:$Q,0),1),0)</f>
        <v/>
      </c>
      <c r="D12" s="199">
        <f>IFERROR(INDEX(기간별손익계산서!$C:$N,MATCH($O12,기간별손익계산서!$Q:$Q,0),2),0)</f>
        <v/>
      </c>
      <c r="E12" s="199">
        <f>IFERROR(INDEX(기간별손익계산서!$C:$N,MATCH($O12,기간별손익계산서!$Q:$Q,0),3),0)</f>
        <v/>
      </c>
      <c r="F12" s="199">
        <f>IFERROR(INDEX(기간별손익계산서!$C:$N,MATCH($O12,기간별손익계산서!$Q:$Q,0),4),0)</f>
        <v/>
      </c>
      <c r="G12" s="199">
        <f>IFERROR(INDEX(기간별손익계산서!$C:$N,MATCH($O12,기간별손익계산서!$Q:$Q,0),5),0)</f>
        <v/>
      </c>
      <c r="H12" s="199">
        <f>IFERROR(INDEX(기간별손익계산서!$C:$N,MATCH($O12,기간별손익계산서!$Q:$Q,0),6),0)</f>
        <v/>
      </c>
      <c r="I12" s="194">
        <f>IFERROR(INDEX(기간별손익계산서!$C:$N,MATCH($O12,기간별손익계산서!$Q:$Q,0),MONTH(EOMONTH(인덱스!$K$1,-1))),0)</f>
        <v/>
      </c>
      <c r="J12" s="194">
        <f>IFERROR(INDEX(기간별손익계산서!$C:$N,MATCH($O12,기간별손익계산서!$Q:$Q,0),MONTH(인덱스!$K$1)),0)</f>
        <v/>
      </c>
      <c r="K12" s="194">
        <f>J12-I12</f>
        <v/>
      </c>
      <c r="L12" s="109" t="n"/>
      <c r="M12" s="110" t="n"/>
      <c r="N12">
        <f>SUBSTITUTE(A12," ","")</f>
        <v/>
      </c>
      <c r="O12">
        <f>N12&amp;"|"&amp;COUNTIF($N$7:N12,N12)</f>
        <v/>
      </c>
      <c r="P12" s="93">
        <f>IF($A12="","",IF(ISNUMBER(MATCH($O12,기간별손익계산서!$Q:$Q,0)),"✓ 일치","⚠ 확인필요"))</f>
        <v/>
      </c>
      <c r="Q12" s="193">
        <f>IFERROR(IF(I12=0,"",(J12-I12)/ABS(I12)),"")</f>
        <v/>
      </c>
    </row>
    <row r="13" ht="22.5" customHeight="1" s="127">
      <c r="A13" s="108" t="inlineStr">
        <is>
          <t xml:space="preserve">        당기 상품 매 입 액</t>
        </is>
      </c>
      <c r="B13" s="199">
        <f>IFERROR(INDEX(기간별손익계산서!$B:$B,MATCH($O13,기간별손익계산서!$Q:$Q,0)),0)</f>
        <v/>
      </c>
      <c r="C13" s="199">
        <f>IFERROR(INDEX(기간별손익계산서!$C:$N,MATCH($O13,기간별손익계산서!$Q:$Q,0),1),0)</f>
        <v/>
      </c>
      <c r="D13" s="199">
        <f>IFERROR(INDEX(기간별손익계산서!$C:$N,MATCH($O13,기간별손익계산서!$Q:$Q,0),2),0)</f>
        <v/>
      </c>
      <c r="E13" s="199">
        <f>IFERROR(INDEX(기간별손익계산서!$C:$N,MATCH($O13,기간별손익계산서!$Q:$Q,0),3),0)</f>
        <v/>
      </c>
      <c r="F13" s="199">
        <f>IFERROR(INDEX(기간별손익계산서!$C:$N,MATCH($O13,기간별손익계산서!$Q:$Q,0),4),0)</f>
        <v/>
      </c>
      <c r="G13" s="199">
        <f>IFERROR(INDEX(기간별손익계산서!$C:$N,MATCH($O13,기간별손익계산서!$Q:$Q,0),5),0)</f>
        <v/>
      </c>
      <c r="H13" s="199">
        <f>IFERROR(INDEX(기간별손익계산서!$C:$N,MATCH($O13,기간별손익계산서!$Q:$Q,0),6),0)</f>
        <v/>
      </c>
      <c r="I13" s="194">
        <f>IFERROR(INDEX(기간별손익계산서!$C:$N,MATCH($O13,기간별손익계산서!$Q:$Q,0),MONTH(EOMONTH(인덱스!$K$1,-1))),0)</f>
        <v/>
      </c>
      <c r="J13" s="194">
        <f>IFERROR(INDEX(기간별손익계산서!$C:$N,MATCH($O13,기간별손익계산서!$Q:$Q,0),MONTH(인덱스!$K$1)),0)</f>
        <v/>
      </c>
      <c r="K13" s="194">
        <f>J13-I13</f>
        <v/>
      </c>
      <c r="L13" s="109" t="n"/>
      <c r="M13" s="110" t="n"/>
      <c r="N13">
        <f>SUBSTITUTE(A13," ","")</f>
        <v/>
      </c>
      <c r="O13">
        <f>N13&amp;"|"&amp;COUNTIF($N$7:N13,N13)</f>
        <v/>
      </c>
      <c r="P13" s="93">
        <f>IF($A13="","",IF(ISNUMBER(MATCH($O13,기간별손익계산서!$Q:$Q,0)),"✓ 일치","⚠ 확인필요"))</f>
        <v/>
      </c>
      <c r="Q13" s="193">
        <f>IFERROR(IF(I13=0,"",(J13-I13)/ABS(I13)),"")</f>
        <v/>
      </c>
    </row>
    <row r="14" ht="22.5" customHeight="1" s="127">
      <c r="A14" s="108" t="inlineStr">
        <is>
          <t xml:space="preserve">        매   입   할    인</t>
        </is>
      </c>
      <c r="B14" s="199">
        <f>IFERROR(INDEX(기간별손익계산서!$B:$B,MATCH($O14,기간별손익계산서!$Q:$Q,0)),0)</f>
        <v/>
      </c>
      <c r="C14" s="199">
        <f>IFERROR(INDEX(기간별손익계산서!$C:$N,MATCH($O14,기간별손익계산서!$Q:$Q,0),1),0)</f>
        <v/>
      </c>
      <c r="D14" s="199">
        <f>IFERROR(INDEX(기간별손익계산서!$C:$N,MATCH($O14,기간별손익계산서!$Q:$Q,0),2),0)</f>
        <v/>
      </c>
      <c r="E14" s="199">
        <f>IFERROR(INDEX(기간별손익계산서!$C:$N,MATCH($O14,기간별손익계산서!$Q:$Q,0),3),0)</f>
        <v/>
      </c>
      <c r="F14" s="199">
        <f>IFERROR(INDEX(기간별손익계산서!$C:$N,MATCH($O14,기간별손익계산서!$Q:$Q,0),4),0)</f>
        <v/>
      </c>
      <c r="G14" s="199">
        <f>IFERROR(INDEX(기간별손익계산서!$C:$N,MATCH($O14,기간별손익계산서!$Q:$Q,0),5),0)</f>
        <v/>
      </c>
      <c r="H14" s="199">
        <f>IFERROR(INDEX(기간별손익계산서!$C:$N,MATCH($O14,기간별손익계산서!$Q:$Q,0),6),0)</f>
        <v/>
      </c>
      <c r="I14" s="194">
        <f>IFERROR(INDEX(기간별손익계산서!$C:$N,MATCH($O14,기간별손익계산서!$Q:$Q,0),MONTH(EOMONTH(인덱스!$K$1,-1))),0)</f>
        <v/>
      </c>
      <c r="J14" s="194">
        <f>IFERROR(INDEX(기간별손익계산서!$C:$N,MATCH($O14,기간별손익계산서!$Q:$Q,0),MONTH(인덱스!$K$1)),0)</f>
        <v/>
      </c>
      <c r="K14" s="194">
        <f>J14-I14</f>
        <v/>
      </c>
      <c r="L14" s="109" t="n"/>
      <c r="M14" s="110" t="n"/>
      <c r="N14">
        <f>SUBSTITUTE(A14," ","")</f>
        <v/>
      </c>
      <c r="O14">
        <f>N14&amp;"|"&amp;COUNTIF($N$7:N14,N14)</f>
        <v/>
      </c>
      <c r="P14" s="93">
        <f>IF($A14="","",IF(ISNUMBER(MATCH($O14,기간별손익계산서!$Q:$Q,0)),"✓ 일치","⚠ 확인필요"))</f>
        <v/>
      </c>
      <c r="Q14" s="193">
        <f>IFERROR(IF(I14=0,"",(J14-I14)/ABS(I14)),"")</f>
        <v/>
      </c>
    </row>
    <row r="15" ht="22.5" customHeight="1" s="127">
      <c r="A15" s="108" t="inlineStr">
        <is>
          <t xml:space="preserve">        기말  상품  재고액</t>
        </is>
      </c>
      <c r="B15" s="199">
        <f>IFERROR(INDEX(기간별손익계산서!$B:$B,MATCH($O15,기간별손익계산서!$Q:$Q,0)),0)</f>
        <v/>
      </c>
      <c r="C15" s="199">
        <f>IFERROR(INDEX(기간별손익계산서!$C:$N,MATCH($O15,기간별손익계산서!$Q:$Q,0),1),0)</f>
        <v/>
      </c>
      <c r="D15" s="199">
        <f>IFERROR(INDEX(기간별손익계산서!$C:$N,MATCH($O15,기간별손익계산서!$Q:$Q,0),2),0)</f>
        <v/>
      </c>
      <c r="E15" s="199">
        <f>IFERROR(INDEX(기간별손익계산서!$C:$N,MATCH($O15,기간별손익계산서!$Q:$Q,0),3),0)</f>
        <v/>
      </c>
      <c r="F15" s="199">
        <f>IFERROR(INDEX(기간별손익계산서!$C:$N,MATCH($O15,기간별손익계산서!$Q:$Q,0),4),0)</f>
        <v/>
      </c>
      <c r="G15" s="199">
        <f>IFERROR(INDEX(기간별손익계산서!$C:$N,MATCH($O15,기간별손익계산서!$Q:$Q,0),5),0)</f>
        <v/>
      </c>
      <c r="H15" s="199">
        <f>IFERROR(INDEX(기간별손익계산서!$C:$N,MATCH($O15,기간별손익계산서!$Q:$Q,0),6),0)</f>
        <v/>
      </c>
      <c r="I15" s="194">
        <f>IFERROR(INDEX(기간별손익계산서!$C:$N,MATCH($O15,기간별손익계산서!$Q:$Q,0),MONTH(EOMONTH(인덱스!$K$1,-1))),0)</f>
        <v/>
      </c>
      <c r="J15" s="194">
        <f>IFERROR(INDEX(기간별손익계산서!$C:$N,MATCH($O15,기간별손익계산서!$Q:$Q,0),MONTH(인덱스!$K$1)),0)</f>
        <v/>
      </c>
      <c r="K15" s="194">
        <f>J15-I15</f>
        <v/>
      </c>
      <c r="L15" s="109" t="n"/>
      <c r="M15" s="110" t="n"/>
      <c r="N15">
        <f>SUBSTITUTE(A15," ","")</f>
        <v/>
      </c>
      <c r="O15">
        <f>N15&amp;"|"&amp;COUNTIF($N$7:N15,N15)</f>
        <v/>
      </c>
      <c r="P15" s="93">
        <f>IF($A15="","",IF(ISNUMBER(MATCH($O15,기간별손익계산서!$Q:$Q,0)),"✓ 일치","⚠ 확인필요"))</f>
        <v/>
      </c>
      <c r="Q15" s="193">
        <f>IFERROR(IF(I15=0,"",(J15-I15)/ABS(I15)),"")</f>
        <v/>
      </c>
    </row>
    <row r="16" ht="24" customHeight="1" s="127">
      <c r="A16" s="74" t="inlineStr">
        <is>
          <t>Ⅲ  . 매  출  총  이  익</t>
        </is>
      </c>
      <c r="B16" s="192">
        <f>IFERROR(INDEX(기간별손익계산서!$B:$B,MATCH($O16,기간별손익계산서!$Q:$Q,0)),0)</f>
        <v/>
      </c>
      <c r="C16" s="192">
        <f>IFERROR(INDEX(기간별손익계산서!$C:$N,MATCH($O16,기간별손익계산서!$Q:$Q,0),1),0)</f>
        <v/>
      </c>
      <c r="D16" s="192">
        <f>IFERROR(INDEX(기간별손익계산서!$C:$N,MATCH($O16,기간별손익계산서!$Q:$Q,0),2),0)</f>
        <v/>
      </c>
      <c r="E16" s="192">
        <f>IFERROR(INDEX(기간별손익계산서!$C:$N,MATCH($O16,기간별손익계산서!$Q:$Q,0),3),0)</f>
        <v/>
      </c>
      <c r="F16" s="192">
        <f>IFERROR(INDEX(기간별손익계산서!$C:$N,MATCH($O16,기간별손익계산서!$Q:$Q,0),4),0)</f>
        <v/>
      </c>
      <c r="G16" s="192">
        <f>IFERROR(INDEX(기간별손익계산서!$C:$N,MATCH($O16,기간별손익계산서!$Q:$Q,0),5),0)</f>
        <v/>
      </c>
      <c r="H16" s="192">
        <f>IFERROR(INDEX(기간별손익계산서!$C:$N,MATCH($O16,기간별손익계산서!$Q:$Q,0),6),0)</f>
        <v/>
      </c>
      <c r="I16" s="192">
        <f>IFERROR(INDEX(기간별손익계산서!$C:$N,MATCH($O16,기간별손익계산서!$Q:$Q,0),MONTH(EOMONTH(인덱스!$K$1,-1))),0)</f>
        <v/>
      </c>
      <c r="J16" s="192">
        <f>IFERROR(INDEX(기간별손익계산서!$C:$N,MATCH($O16,기간별손익계산서!$Q:$Q,0),MONTH(인덱스!$K$1)),0)</f>
        <v/>
      </c>
      <c r="K16" s="192">
        <f>J16-I16</f>
        <v/>
      </c>
      <c r="L16" s="106">
        <f>IF(J16-I16&gt;0,"증가",IF(J16-I16=0,"변동없음","감소"))</f>
        <v/>
      </c>
      <c r="M16" s="107" t="n"/>
      <c r="N16">
        <f>SUBSTITUTE(A16," ","")</f>
        <v/>
      </c>
      <c r="O16">
        <f>N16&amp;"|"&amp;COUNTIF($N$7:N16,N16)</f>
        <v/>
      </c>
      <c r="P16" s="93">
        <f>IF($A16="","",IF(ISNUMBER(MATCH($O16,기간별손익계산서!$Q:$Q,0)),"✓ 일치","⚠ 확인필요"))</f>
        <v/>
      </c>
      <c r="Q16" s="193">
        <f>IFERROR(IF(I16=0,"",(J16-I16)/ABS(I16)),"")</f>
        <v/>
      </c>
    </row>
    <row r="17" ht="22.5" customHeight="1" s="127">
      <c r="A17" s="105" t="inlineStr">
        <is>
          <t>Ⅳ  . 판  매  관  리  비</t>
        </is>
      </c>
      <c r="B17" s="200">
        <f>IFERROR(INDEX(기간별손익계산서!$B:$B,MATCH($O17,기간별손익계산서!$Q:$Q,0)),0)</f>
        <v/>
      </c>
      <c r="C17" s="200">
        <f>IFERROR(INDEX(기간별손익계산서!$C:$N,MATCH($O17,기간별손익계산서!$Q:$Q,0),1),0)</f>
        <v/>
      </c>
      <c r="D17" s="200">
        <f>IFERROR(INDEX(기간별손익계산서!$C:$N,MATCH($O17,기간별손익계산서!$Q:$Q,0),2),0)</f>
        <v/>
      </c>
      <c r="E17" s="200">
        <f>IFERROR(INDEX(기간별손익계산서!$C:$N,MATCH($O17,기간별손익계산서!$Q:$Q,0),3),0)</f>
        <v/>
      </c>
      <c r="F17" s="200">
        <f>IFERROR(INDEX(기간별손익계산서!$C:$N,MATCH($O17,기간별손익계산서!$Q:$Q,0),4),0)</f>
        <v/>
      </c>
      <c r="G17" s="200">
        <f>IFERROR(INDEX(기간별손익계산서!$C:$N,MATCH($O17,기간별손익계산서!$Q:$Q,0),5),0)</f>
        <v/>
      </c>
      <c r="H17" s="200">
        <f>IFERROR(INDEX(기간별손익계산서!$C:$N,MATCH($O17,기간별손익계산서!$Q:$Q,0),6),0)</f>
        <v/>
      </c>
      <c r="I17" s="192">
        <f>IFERROR(INDEX(기간별손익계산서!$C:$N,MATCH($O17,기간별손익계산서!$Q:$Q,0),MONTH(EOMONTH(인덱스!$K$1,-1))),0)</f>
        <v/>
      </c>
      <c r="J17" s="192">
        <f>IFERROR(INDEX(기간별손익계산서!$C:$N,MATCH($O17,기간별손익계산서!$Q:$Q,0),MONTH(인덱스!$K$1)),0)</f>
        <v/>
      </c>
      <c r="K17" s="192">
        <f>J17-I17</f>
        <v/>
      </c>
      <c r="L17" s="106">
        <f>IF(J17-I17&gt;0,"증가",IF(J17-I17=0,"변동없음","감소"))</f>
        <v/>
      </c>
      <c r="M17" s="107" t="n"/>
      <c r="N17">
        <f>SUBSTITUTE(A17," ","")</f>
        <v/>
      </c>
      <c r="O17">
        <f>N17&amp;"|"&amp;COUNTIF($N$7:N17,N17)</f>
        <v/>
      </c>
      <c r="P17" s="93">
        <f>IF($A17="","",IF(ISNUMBER(MATCH($O17,기간별손익계산서!$Q:$Q,0)),"✓ 일치","⚠ 확인필요"))</f>
        <v/>
      </c>
      <c r="Q17" s="193">
        <f>IFERROR(IF(I17=0,"",(J17-I17)/ABS(I17)),"")</f>
        <v/>
      </c>
    </row>
    <row r="18" ht="22.5" customHeight="1" s="127">
      <c r="A18" s="108" t="inlineStr">
        <is>
          <t xml:space="preserve">      직   원    급   여</t>
        </is>
      </c>
      <c r="B18" s="199">
        <f>IFERROR(INDEX(기간별손익계산서!$B:$B,MATCH($O18,기간별손익계산서!$Q:$Q,0)),0)</f>
        <v/>
      </c>
      <c r="C18" s="199">
        <f>IFERROR(INDEX(기간별손익계산서!$C:$N,MATCH($O18,기간별손익계산서!$Q:$Q,0),1),0)</f>
        <v/>
      </c>
      <c r="D18" s="199">
        <f>IFERROR(INDEX(기간별손익계산서!$C:$N,MATCH($O18,기간별손익계산서!$Q:$Q,0),2),0)</f>
        <v/>
      </c>
      <c r="E18" s="199">
        <f>IFERROR(INDEX(기간별손익계산서!$C:$N,MATCH($O18,기간별손익계산서!$Q:$Q,0),3),0)</f>
        <v/>
      </c>
      <c r="F18" s="199">
        <f>IFERROR(INDEX(기간별손익계산서!$C:$N,MATCH($O18,기간별손익계산서!$Q:$Q,0),4),0)</f>
        <v/>
      </c>
      <c r="G18" s="199">
        <f>IFERROR(INDEX(기간별손익계산서!$C:$N,MATCH($O18,기간별손익계산서!$Q:$Q,0),5),0)</f>
        <v/>
      </c>
      <c r="H18" s="199">
        <f>IFERROR(INDEX(기간별손익계산서!$C:$N,MATCH($O18,기간별손익계산서!$Q:$Q,0),6),0)</f>
        <v/>
      </c>
      <c r="I18" s="194">
        <f>IFERROR(INDEX(기간별손익계산서!$C:$N,MATCH($O18,기간별손익계산서!$Q:$Q,0),MONTH(EOMONTH(인덱스!$K$1,-1))),0)</f>
        <v/>
      </c>
      <c r="J18" s="194">
        <f>IFERROR(INDEX(기간별손익계산서!$C:$N,MATCH($O18,기간별손익계산서!$Q:$Q,0),MONTH(인덱스!$K$1)),0)</f>
        <v/>
      </c>
      <c r="K18" s="194">
        <f>J18-I18</f>
        <v/>
      </c>
      <c r="L18" s="113">
        <f>IF(J18-I18&gt;0,"증가",IF(J18-I18=0,"변동없음","감소"))</f>
        <v/>
      </c>
      <c r="M18" s="114" t="inlineStr">
        <is>
          <t>6월: 총36명, 7월: 총36명</t>
        </is>
      </c>
      <c r="N18">
        <f>SUBSTITUTE(A18," ","")</f>
        <v/>
      </c>
      <c r="O18">
        <f>N18&amp;"|"&amp;COUNTIF($N$7:N18,N18)</f>
        <v/>
      </c>
      <c r="P18" s="93">
        <f>IF($A18="","",IF(ISNUMBER(MATCH($O18,기간별손익계산서!$Q:$Q,0)),"✓ 일치","⚠ 확인필요"))</f>
        <v/>
      </c>
      <c r="Q18" s="193">
        <f>IFERROR(IF(I18=0,"",(J18-I18)/ABS(I18)),"")</f>
        <v/>
      </c>
    </row>
    <row r="19" ht="22.5" customHeight="1" s="127">
      <c r="A19" s="108" t="inlineStr">
        <is>
          <t xml:space="preserve">      잡              급</t>
        </is>
      </c>
      <c r="B19" s="199">
        <f>IFERROR(INDEX(기간별손익계산서!$B:$B,MATCH($O19,기간별손익계산서!$Q:$Q,0)),0)</f>
        <v/>
      </c>
      <c r="C19" s="199">
        <f>IFERROR(INDEX(기간별손익계산서!$C:$N,MATCH($O19,기간별손익계산서!$Q:$Q,0),1),0)</f>
        <v/>
      </c>
      <c r="D19" s="199">
        <f>IFERROR(INDEX(기간별손익계산서!$C:$N,MATCH($O19,기간별손익계산서!$Q:$Q,0),2),0)</f>
        <v/>
      </c>
      <c r="E19" s="199">
        <f>IFERROR(INDEX(기간별손익계산서!$C:$N,MATCH($O19,기간별손익계산서!$Q:$Q,0),3),0)</f>
        <v/>
      </c>
      <c r="F19" s="199">
        <f>IFERROR(INDEX(기간별손익계산서!$C:$N,MATCH($O19,기간별손익계산서!$Q:$Q,0),4),0)</f>
        <v/>
      </c>
      <c r="G19" s="199">
        <f>IFERROR(INDEX(기간별손익계산서!$C:$N,MATCH($O19,기간별손익계산서!$Q:$Q,0),5),0)</f>
        <v/>
      </c>
      <c r="H19" s="199">
        <f>IFERROR(INDEX(기간별손익계산서!$C:$N,MATCH($O19,기간별손익계산서!$Q:$Q,0),6),0)</f>
        <v/>
      </c>
      <c r="I19" s="194">
        <f>IFERROR(INDEX(기간별손익계산서!$C:$N,MATCH($O19,기간별손익계산서!$Q:$Q,0),MONTH(EOMONTH(인덱스!$K$1,-1))),0)</f>
        <v/>
      </c>
      <c r="J19" s="194">
        <f>IFERROR(INDEX(기간별손익계산서!$C:$N,MATCH($O19,기간별손익계산서!$Q:$Q,0),MONTH(인덱스!$K$1)),0)</f>
        <v/>
      </c>
      <c r="K19" s="194">
        <f>J19-I19</f>
        <v/>
      </c>
      <c r="L19" s="113">
        <f>IF(J19-I19&gt;0,"증가",IF(J19-I19=0,"변동없음","감소"))</f>
        <v/>
      </c>
      <c r="M19" s="114" t="n"/>
      <c r="N19">
        <f>SUBSTITUTE(A19," ","")</f>
        <v/>
      </c>
      <c r="O19">
        <f>N19&amp;"|"&amp;COUNTIF($N$7:N19,N19)</f>
        <v/>
      </c>
      <c r="P19" s="93">
        <f>IF($A19="","",IF(ISNUMBER(MATCH($O19,기간별손익계산서!$Q:$Q,0)),"✓ 일치","⚠ 확인필요"))</f>
        <v/>
      </c>
      <c r="Q19" s="196">
        <f>IFERROR(IF(I19=0,"",(J19-I19)/ABS(I19)),"")</f>
        <v/>
      </c>
    </row>
    <row r="20" ht="22.5" customHeight="1" s="127">
      <c r="A20" s="108" t="inlineStr">
        <is>
          <t xml:space="preserve">      상      여      금</t>
        </is>
      </c>
      <c r="B20" s="199">
        <f>IFERROR(INDEX(기간별손익계산서!$B:$B,MATCH($O20,기간별손익계산서!$Q:$Q,0)),0)</f>
        <v/>
      </c>
      <c r="C20" s="199">
        <f>IFERROR(INDEX(기간별손익계산서!$C:$N,MATCH($O20,기간별손익계산서!$Q:$Q,0),1),0)</f>
        <v/>
      </c>
      <c r="D20" s="199">
        <f>IFERROR(INDEX(기간별손익계산서!$C:$N,MATCH($O20,기간별손익계산서!$Q:$Q,0),2),0)</f>
        <v/>
      </c>
      <c r="E20" s="199">
        <f>IFERROR(INDEX(기간별손익계산서!$C:$N,MATCH($O20,기간별손익계산서!$Q:$Q,0),3),0)</f>
        <v/>
      </c>
      <c r="F20" s="199">
        <f>IFERROR(INDEX(기간별손익계산서!$C:$N,MATCH($O20,기간별손익계산서!$Q:$Q,0),4),0)</f>
        <v/>
      </c>
      <c r="G20" s="199">
        <f>IFERROR(INDEX(기간별손익계산서!$C:$N,MATCH($O20,기간별손익계산서!$Q:$Q,0),5),0)</f>
        <v/>
      </c>
      <c r="H20" s="199">
        <f>IFERROR(INDEX(기간별손익계산서!$C:$N,MATCH($O20,기간별손익계산서!$Q:$Q,0),6),0)</f>
        <v/>
      </c>
      <c r="I20" s="194">
        <f>IFERROR(INDEX(기간별손익계산서!$C:$N,MATCH($O20,기간별손익계산서!$Q:$Q,0),MONTH(EOMONTH(인덱스!$K$1,-1))),0)</f>
        <v/>
      </c>
      <c r="J20" s="194">
        <f>IFERROR(INDEX(기간별손익계산서!$C:$N,MATCH($O20,기간별손익계산서!$Q:$Q,0),MONTH(인덱스!$K$1)),0)</f>
        <v/>
      </c>
      <c r="K20" s="194">
        <f>J20-I20</f>
        <v/>
      </c>
      <c r="L20" s="113">
        <f>IF(J20-I20&gt;0,"증가",IF(J20-I20=0,"변동없음","감소"))</f>
        <v/>
      </c>
      <c r="M20" s="115" t="n"/>
      <c r="N20">
        <f>SUBSTITUTE(A20," ","")</f>
        <v/>
      </c>
      <c r="O20">
        <f>N20&amp;"|"&amp;COUNTIF($N$7:N20,N20)</f>
        <v/>
      </c>
      <c r="P20" s="93">
        <f>IF($A20="","",IF(ISNUMBER(MATCH($O20,기간별손익계산서!$Q:$Q,0)),"✓ 일치","⚠ 확인필요"))</f>
        <v/>
      </c>
      <c r="Q20" s="193">
        <f>IFERROR(IF(I20=0,"",(J20-I20)/ABS(I20)),"")</f>
        <v/>
      </c>
    </row>
    <row r="21" ht="22.5" customHeight="1" s="127">
      <c r="A21" s="108" t="inlineStr">
        <is>
          <t xml:space="preserve">      퇴   직    급   여</t>
        </is>
      </c>
      <c r="B21" s="199">
        <f>IFERROR(INDEX(기간별손익계산서!$B:$B,MATCH($O21,기간별손익계산서!$Q:$Q,0)),0)</f>
        <v/>
      </c>
      <c r="C21" s="199">
        <f>IFERROR(INDEX(기간별손익계산서!$C:$N,MATCH($O21,기간별손익계산서!$Q:$Q,0),1),0)</f>
        <v/>
      </c>
      <c r="D21" s="199">
        <f>IFERROR(INDEX(기간별손익계산서!$C:$N,MATCH($O21,기간별손익계산서!$Q:$Q,0),2),0)</f>
        <v/>
      </c>
      <c r="E21" s="199">
        <f>IFERROR(INDEX(기간별손익계산서!$C:$N,MATCH($O21,기간별손익계산서!$Q:$Q,0),3),0)</f>
        <v/>
      </c>
      <c r="F21" s="199">
        <f>IFERROR(INDEX(기간별손익계산서!$C:$N,MATCH($O21,기간별손익계산서!$Q:$Q,0),4),0)</f>
        <v/>
      </c>
      <c r="G21" s="199">
        <f>IFERROR(INDEX(기간별손익계산서!$C:$N,MATCH($O21,기간별손익계산서!$Q:$Q,0),5),0)</f>
        <v/>
      </c>
      <c r="H21" s="199">
        <f>IFERROR(INDEX(기간별손익계산서!$C:$N,MATCH($O21,기간별손익계산서!$Q:$Q,0),6),0)</f>
        <v/>
      </c>
      <c r="I21" s="194">
        <f>IFERROR(INDEX(기간별손익계산서!$C:$N,MATCH($O21,기간별손익계산서!$Q:$Q,0),MONTH(EOMONTH(인덱스!$K$1,-1))),0)</f>
        <v/>
      </c>
      <c r="J21" s="194">
        <f>IFERROR(INDEX(기간별손익계산서!$C:$N,MATCH($O21,기간별손익계산서!$Q:$Q,0),MONTH(인덱스!$K$1)),0)</f>
        <v/>
      </c>
      <c r="K21" s="194">
        <f>J21-I21</f>
        <v/>
      </c>
      <c r="L21" s="113">
        <f>IF(J21-I21&gt;0,"증가",IF(J21-I21=0,"변동없음","감소"))</f>
        <v/>
      </c>
      <c r="M21" s="114" t="inlineStr">
        <is>
          <t>6월:상반기 퇴직연금 불입</t>
        </is>
      </c>
      <c r="N21">
        <f>SUBSTITUTE(A21," ","")</f>
        <v/>
      </c>
      <c r="O21">
        <f>N21&amp;"|"&amp;COUNTIF($N$7:N21,N21)</f>
        <v/>
      </c>
      <c r="P21" s="93">
        <f>IF($A21="","",IF(ISNUMBER(MATCH($O21,기간별손익계산서!$Q:$Q,0)),"✓ 일치","⚠ 확인필요"))</f>
        <v/>
      </c>
      <c r="Q21" s="193">
        <f>IFERROR(IF(I21=0,"",(J21-I21)/ABS(I21)),"")</f>
        <v/>
      </c>
    </row>
    <row r="22" ht="22.5" customHeight="1" s="127">
      <c r="A22" s="108" t="inlineStr">
        <is>
          <t xml:space="preserve">      복  리  후  생  비</t>
        </is>
      </c>
      <c r="B22" s="199">
        <f>IFERROR(INDEX(기간별손익계산서!$B:$B,MATCH($O22,기간별손익계산서!$Q:$Q,0)),0)</f>
        <v/>
      </c>
      <c r="C22" s="199">
        <f>IFERROR(INDEX(기간별손익계산서!$C:$N,MATCH($O22,기간별손익계산서!$Q:$Q,0),1),0)</f>
        <v/>
      </c>
      <c r="D22" s="199">
        <f>IFERROR(INDEX(기간별손익계산서!$C:$N,MATCH($O22,기간별손익계산서!$Q:$Q,0),2),0)</f>
        <v/>
      </c>
      <c r="E22" s="199">
        <f>IFERROR(INDEX(기간별손익계산서!$C:$N,MATCH($O22,기간별손익계산서!$Q:$Q,0),3),0)</f>
        <v/>
      </c>
      <c r="F22" s="199">
        <f>IFERROR(INDEX(기간별손익계산서!$C:$N,MATCH($O22,기간별손익계산서!$Q:$Q,0),4),0)</f>
        <v/>
      </c>
      <c r="G22" s="199">
        <f>IFERROR(INDEX(기간별손익계산서!$C:$N,MATCH($O22,기간별손익계산서!$Q:$Q,0),5),0)</f>
        <v/>
      </c>
      <c r="H22" s="199">
        <f>IFERROR(INDEX(기간별손익계산서!$C:$N,MATCH($O22,기간별손익계산서!$Q:$Q,0),6),0)</f>
        <v/>
      </c>
      <c r="I22" s="194">
        <f>IFERROR(INDEX(기간별손익계산서!$C:$N,MATCH($O22,기간별손익계산서!$Q:$Q,0),MONTH(EOMONTH(인덱스!$K$1,-1))),0)</f>
        <v/>
      </c>
      <c r="J22" s="194">
        <f>IFERROR(INDEX(기간별손익계산서!$C:$N,MATCH($O22,기간별손익계산서!$Q:$Q,0),MONTH(인덱스!$K$1)),0)</f>
        <v/>
      </c>
      <c r="K22" s="194">
        <f>J22-I22</f>
        <v/>
      </c>
      <c r="L22" s="113">
        <f>IF(J22-I22&gt;0,"증가",IF(J22-I22=0,"변동없음","감소"))</f>
        <v/>
      </c>
      <c r="M22" s="115" t="inlineStr">
        <is>
          <t>건강(요양)보험 회사부담금</t>
        </is>
      </c>
      <c r="N22">
        <f>SUBSTITUTE(A22," ","")</f>
        <v/>
      </c>
      <c r="O22">
        <f>N22&amp;"|"&amp;COUNTIF($N$7:N22,N22)</f>
        <v/>
      </c>
      <c r="P22" s="93">
        <f>IF($A22="","",IF(ISNUMBER(MATCH($O22,기간별손익계산서!$Q:$Q,0)),"✓ 일치","⚠ 확인필요"))</f>
        <v/>
      </c>
      <c r="Q22" s="193">
        <f>IFERROR(IF(I22=0,"",(J22-I22)/ABS(I22)),"")</f>
        <v/>
      </c>
    </row>
    <row r="23" ht="22.5" customHeight="1" s="127">
      <c r="A23" s="108" t="inlineStr">
        <is>
          <t xml:space="preserve">      여  비  교  통  비</t>
        </is>
      </c>
      <c r="B23" s="199">
        <f>IFERROR(INDEX(기간별손익계산서!$B:$B,MATCH($O23,기간별손익계산서!$Q:$Q,0)),0)</f>
        <v/>
      </c>
      <c r="C23" s="199">
        <f>IFERROR(INDEX(기간별손익계산서!$C:$N,MATCH($O23,기간별손익계산서!$Q:$Q,0),1),0)</f>
        <v/>
      </c>
      <c r="D23" s="199">
        <f>IFERROR(INDEX(기간별손익계산서!$C:$N,MATCH($O23,기간별손익계산서!$Q:$Q,0),2),0)</f>
        <v/>
      </c>
      <c r="E23" s="199">
        <f>IFERROR(INDEX(기간별손익계산서!$C:$N,MATCH($O23,기간별손익계산서!$Q:$Q,0),3),0)</f>
        <v/>
      </c>
      <c r="F23" s="199">
        <f>IFERROR(INDEX(기간별손익계산서!$C:$N,MATCH($O23,기간별손익계산서!$Q:$Q,0),4),0)</f>
        <v/>
      </c>
      <c r="G23" s="199">
        <f>IFERROR(INDEX(기간별손익계산서!$C:$N,MATCH($O23,기간별손익계산서!$Q:$Q,0),5),0)</f>
        <v/>
      </c>
      <c r="H23" s="199">
        <f>IFERROR(INDEX(기간별손익계산서!$C:$N,MATCH($O23,기간별손익계산서!$Q:$Q,0),6),0)</f>
        <v/>
      </c>
      <c r="I23" s="194">
        <f>IFERROR(INDEX(기간별손익계산서!$C:$N,MATCH($O23,기간별손익계산서!$Q:$Q,0),MONTH(EOMONTH(인덱스!$K$1,-1))),0)</f>
        <v/>
      </c>
      <c r="J23" s="194">
        <f>IFERROR(INDEX(기간별손익계산서!$C:$N,MATCH($O23,기간별손익계산서!$Q:$Q,0),MONTH(인덱스!$K$1)),0)</f>
        <v/>
      </c>
      <c r="K23" s="194">
        <f>J23-I23</f>
        <v/>
      </c>
      <c r="L23" s="113">
        <f>IF(J23-I23&gt;0,"증가",IF(J23-I23=0,"변동없음","감소"))</f>
        <v/>
      </c>
      <c r="M23" s="115" t="inlineStr">
        <is>
          <t>출장경비</t>
        </is>
      </c>
      <c r="N23">
        <f>SUBSTITUTE(A23," ","")</f>
        <v/>
      </c>
      <c r="O23">
        <f>N23&amp;"|"&amp;COUNTIF($N$7:N23,N23)</f>
        <v/>
      </c>
      <c r="P23" s="93">
        <f>IF($A23="","",IF(ISNUMBER(MATCH($O23,기간별손익계산서!$Q:$Q,0)),"✓ 일치","⚠ 확인필요"))</f>
        <v/>
      </c>
      <c r="Q23" s="193">
        <f>IFERROR(IF(I23=0,"",(J23-I23)/ABS(I23)),"")</f>
        <v/>
      </c>
    </row>
    <row r="24" ht="22.5" customHeight="1" s="127">
      <c r="A24" s="108" t="inlineStr">
        <is>
          <t xml:space="preserve">      접      대      비</t>
        </is>
      </c>
      <c r="B24" s="199">
        <f>IFERROR(INDEX(기간별손익계산서!$B:$B,MATCH($O24,기간별손익계산서!$Q:$Q,0)),0)</f>
        <v/>
      </c>
      <c r="C24" s="199">
        <f>IFERROR(INDEX(기간별손익계산서!$C:$N,MATCH($O24,기간별손익계산서!$Q:$Q,0),1),0)</f>
        <v/>
      </c>
      <c r="D24" s="199">
        <f>IFERROR(INDEX(기간별손익계산서!$C:$N,MATCH($O24,기간별손익계산서!$Q:$Q,0),2),0)</f>
        <v/>
      </c>
      <c r="E24" s="199">
        <f>IFERROR(INDEX(기간별손익계산서!$C:$N,MATCH($O24,기간별손익계산서!$Q:$Q,0),3),0)</f>
        <v/>
      </c>
      <c r="F24" s="199">
        <f>IFERROR(INDEX(기간별손익계산서!$C:$N,MATCH($O24,기간별손익계산서!$Q:$Q,0),4),0)</f>
        <v/>
      </c>
      <c r="G24" s="199">
        <f>IFERROR(INDEX(기간별손익계산서!$C:$N,MATCH($O24,기간별손익계산서!$Q:$Q,0),5),0)</f>
        <v/>
      </c>
      <c r="H24" s="199">
        <f>IFERROR(INDEX(기간별손익계산서!$C:$N,MATCH($O24,기간별손익계산서!$Q:$Q,0),6),0)</f>
        <v/>
      </c>
      <c r="I24" s="194">
        <f>IFERROR(INDEX(기간별손익계산서!$C:$N,MATCH($O24,기간별손익계산서!$Q:$Q,0),MONTH(EOMONTH(인덱스!$K$1,-1))),0)</f>
        <v/>
      </c>
      <c r="J24" s="194">
        <f>IFERROR(INDEX(기간별손익계산서!$C:$N,MATCH($O24,기간별손익계산서!$Q:$Q,0),MONTH(인덱스!$K$1)),0)</f>
        <v/>
      </c>
      <c r="K24" s="194">
        <f>J24-I24</f>
        <v/>
      </c>
      <c r="L24" s="113">
        <f>IF(J24-I24&gt;0,"증가",IF(J24-I24=0,"변동없음","감소"))</f>
        <v/>
      </c>
      <c r="M24" s="115" t="n"/>
      <c r="N24">
        <f>SUBSTITUTE(A24," ","")</f>
        <v/>
      </c>
      <c r="O24">
        <f>N24&amp;"|"&amp;COUNTIF($N$7:N24,N24)</f>
        <v/>
      </c>
      <c r="P24" s="93">
        <f>IF($A24="","",IF(ISNUMBER(MATCH($O24,기간별손익계산서!$Q:$Q,0)),"✓ 일치","⚠ 확인필요"))</f>
        <v/>
      </c>
      <c r="Q24" s="193">
        <f>IFERROR(IF(I24=0,"",(J24-I24)/ABS(I24)),"")</f>
        <v/>
      </c>
    </row>
    <row r="25" ht="22.5" customHeight="1" s="127">
      <c r="A25" s="108" t="inlineStr">
        <is>
          <t xml:space="preserve">      통      신      비</t>
        </is>
      </c>
      <c r="B25" s="199">
        <f>IFERROR(INDEX(기간별손익계산서!$B:$B,MATCH($O25,기간별손익계산서!$Q:$Q,0)),0)</f>
        <v/>
      </c>
      <c r="C25" s="199">
        <f>IFERROR(INDEX(기간별손익계산서!$C:$N,MATCH($O25,기간별손익계산서!$Q:$Q,0),1),0)</f>
        <v/>
      </c>
      <c r="D25" s="199">
        <f>IFERROR(INDEX(기간별손익계산서!$C:$N,MATCH($O25,기간별손익계산서!$Q:$Q,0),2),0)</f>
        <v/>
      </c>
      <c r="E25" s="199">
        <f>IFERROR(INDEX(기간별손익계산서!$C:$N,MATCH($O25,기간별손익계산서!$Q:$Q,0),3),0)</f>
        <v/>
      </c>
      <c r="F25" s="199">
        <f>IFERROR(INDEX(기간별손익계산서!$C:$N,MATCH($O25,기간별손익계산서!$Q:$Q,0),4),0)</f>
        <v/>
      </c>
      <c r="G25" s="199">
        <f>IFERROR(INDEX(기간별손익계산서!$C:$N,MATCH($O25,기간별손익계산서!$Q:$Q,0),5),0)</f>
        <v/>
      </c>
      <c r="H25" s="199">
        <f>IFERROR(INDEX(기간별손익계산서!$C:$N,MATCH($O25,기간별손익계산서!$Q:$Q,0),6),0)</f>
        <v/>
      </c>
      <c r="I25" s="194">
        <f>IFERROR(INDEX(기간별손익계산서!$C:$N,MATCH($O25,기간별손익계산서!$Q:$Q,0),MONTH(EOMONTH(인덱스!$K$1,-1))),0)</f>
        <v/>
      </c>
      <c r="J25" s="194">
        <f>IFERROR(INDEX(기간별손익계산서!$C:$N,MATCH($O25,기간별손익계산서!$Q:$Q,0),MONTH(인덱스!$K$1)),0)</f>
        <v/>
      </c>
      <c r="K25" s="194">
        <f>J25-I25</f>
        <v/>
      </c>
      <c r="L25" s="113">
        <f>IF(J25-I25&gt;0,"증가",IF(J25-I25=0,"변동없음","감소"))</f>
        <v/>
      </c>
      <c r="M25" s="115" t="inlineStr">
        <is>
          <t>전지사 전화/인터넷요금, 개인별 휴대폰 지원금, 우편등기외</t>
        </is>
      </c>
      <c r="N25">
        <f>SUBSTITUTE(A25," ","")</f>
        <v/>
      </c>
      <c r="O25">
        <f>N25&amp;"|"&amp;COUNTIF($N$7:N25,N25)</f>
        <v/>
      </c>
      <c r="P25" s="93">
        <f>IF($A25="","",IF(ISNUMBER(MATCH($O25,기간별손익계산서!$Q:$Q,0)),"✓ 일치","⚠ 확인필요"))</f>
        <v/>
      </c>
      <c r="Q25" s="193">
        <f>IFERROR(IF(I25=0,"",(J25-I25)/ABS(I25)),"")</f>
        <v/>
      </c>
    </row>
    <row r="26" ht="22.5" customHeight="1" s="127">
      <c r="A26" s="108" t="inlineStr">
        <is>
          <t xml:space="preserve">      수  도  광  열  비</t>
        </is>
      </c>
      <c r="B26" s="199">
        <f>IFERROR(INDEX(기간별손익계산서!$B:$B,MATCH($O26,기간별손익계산서!$Q:$Q,0)),0)</f>
        <v/>
      </c>
      <c r="C26" s="199">
        <f>IFERROR(INDEX(기간별손익계산서!$C:$N,MATCH($O26,기간별손익계산서!$Q:$Q,0),1),0)</f>
        <v/>
      </c>
      <c r="D26" s="199">
        <f>IFERROR(INDEX(기간별손익계산서!$C:$N,MATCH($O26,기간별손익계산서!$Q:$Q,0),2),0)</f>
        <v/>
      </c>
      <c r="E26" s="199">
        <f>IFERROR(INDEX(기간별손익계산서!$C:$N,MATCH($O26,기간별손익계산서!$Q:$Q,0),3),0)</f>
        <v/>
      </c>
      <c r="F26" s="199">
        <f>IFERROR(INDEX(기간별손익계산서!$C:$N,MATCH($O26,기간별손익계산서!$Q:$Q,0),4),0)</f>
        <v/>
      </c>
      <c r="G26" s="199">
        <f>IFERROR(INDEX(기간별손익계산서!$C:$N,MATCH($O26,기간별손익계산서!$Q:$Q,0),5),0)</f>
        <v/>
      </c>
      <c r="H26" s="199">
        <f>IFERROR(INDEX(기간별손익계산서!$C:$N,MATCH($O26,기간별손익계산서!$Q:$Q,0),6),0)</f>
        <v/>
      </c>
      <c r="I26" s="194">
        <f>IFERROR(INDEX(기간별손익계산서!$C:$N,MATCH($O26,기간별손익계산서!$Q:$Q,0),MONTH(EOMONTH(인덱스!$K$1,-1))),0)</f>
        <v/>
      </c>
      <c r="J26" s="194">
        <f>IFERROR(INDEX(기간별손익계산서!$C:$N,MATCH($O26,기간별손익계산서!$Q:$Q,0),MONTH(인덱스!$K$1)),0)</f>
        <v/>
      </c>
      <c r="K26" s="194">
        <f>J26-I26</f>
        <v/>
      </c>
      <c r="L26" s="113">
        <f>IF(J26-I26&gt;0,"증가",IF(J26-I26=0,"변동없음","감소"))</f>
        <v/>
      </c>
      <c r="M26" s="115" t="inlineStr">
        <is>
          <t>전지사 수도광열비</t>
        </is>
      </c>
      <c r="N26">
        <f>SUBSTITUTE(A26," ","")</f>
        <v/>
      </c>
      <c r="O26">
        <f>N26&amp;"|"&amp;COUNTIF($N$7:N26,N26)</f>
        <v/>
      </c>
      <c r="P26" s="93">
        <f>IF($A26="","",IF(ISNUMBER(MATCH($O26,기간별손익계산서!$Q:$Q,0)),"✓ 일치","⚠ 확인필요"))</f>
        <v/>
      </c>
      <c r="Q26" s="193">
        <f>IFERROR(IF(I26=0,"",(J26-I26)/ABS(I26)),"")</f>
        <v/>
      </c>
    </row>
    <row r="27" ht="23.25" customHeight="1" s="127">
      <c r="A27" s="108" t="inlineStr">
        <is>
          <t xml:space="preserve">      전      력      비</t>
        </is>
      </c>
      <c r="B27" s="199">
        <f>IFERROR(INDEX(기간별손익계산서!$B:$B,MATCH($O27,기간별손익계산서!$Q:$Q,0)),0)</f>
        <v/>
      </c>
      <c r="C27" s="199">
        <f>IFERROR(INDEX(기간별손익계산서!$C:$N,MATCH($O27,기간별손익계산서!$Q:$Q,0),1),0)</f>
        <v/>
      </c>
      <c r="D27" s="199">
        <f>IFERROR(INDEX(기간별손익계산서!$C:$N,MATCH($O27,기간별손익계산서!$Q:$Q,0),2),0)</f>
        <v/>
      </c>
      <c r="E27" s="199">
        <f>IFERROR(INDEX(기간별손익계산서!$C:$N,MATCH($O27,기간별손익계산서!$Q:$Q,0),3),0)</f>
        <v/>
      </c>
      <c r="F27" s="199">
        <f>IFERROR(INDEX(기간별손익계산서!$C:$N,MATCH($O27,기간별손익계산서!$Q:$Q,0),4),0)</f>
        <v/>
      </c>
      <c r="G27" s="199">
        <f>IFERROR(INDEX(기간별손익계산서!$C:$N,MATCH($O27,기간별손익계산서!$Q:$Q,0),5),0)</f>
        <v/>
      </c>
      <c r="H27" s="199">
        <f>IFERROR(INDEX(기간별손익계산서!$C:$N,MATCH($O27,기간별손익계산서!$Q:$Q,0),6),0)</f>
        <v/>
      </c>
      <c r="I27" s="194">
        <f>IFERROR(INDEX(기간별손익계산서!$C:$N,MATCH($O27,기간별손익계산서!$Q:$Q,0),MONTH(EOMONTH(인덱스!$K$1,-1))),0)</f>
        <v/>
      </c>
      <c r="J27" s="194">
        <f>IFERROR(INDEX(기간별손익계산서!$C:$N,MATCH($O27,기간별손익계산서!$Q:$Q,0),MONTH(인덱스!$K$1)),0)</f>
        <v/>
      </c>
      <c r="K27" s="194">
        <f>J27-I27</f>
        <v/>
      </c>
      <c r="L27" s="113">
        <f>IF(J27-I27&gt;0,"증가",IF(J27-I27=0,"변동없음","감소"))</f>
        <v/>
      </c>
      <c r="M27" s="115" t="inlineStr">
        <is>
          <t>전지사 전기요금</t>
        </is>
      </c>
      <c r="N27">
        <f>SUBSTITUTE(A27," ","")</f>
        <v/>
      </c>
      <c r="O27">
        <f>N27&amp;"|"&amp;COUNTIF($N$7:N27,N27)</f>
        <v/>
      </c>
      <c r="P27" s="93">
        <f>IF($A27="","",IF(ISNUMBER(MATCH($O27,기간별손익계산서!$Q:$Q,0)),"✓ 일치","⚠ 확인필요"))</f>
        <v/>
      </c>
      <c r="Q27" s="193">
        <f>IFERROR(IF(I27=0,"",(J27-I27)/ABS(I27)),"")</f>
        <v/>
      </c>
    </row>
    <row r="28" ht="22.5" customHeight="1" s="127">
      <c r="A28" s="108" t="inlineStr">
        <is>
          <t xml:space="preserve">      세 금 과  공 과 금</t>
        </is>
      </c>
      <c r="B28" s="199">
        <f>IFERROR(INDEX(기간별손익계산서!$B:$B,MATCH($O28,기간별손익계산서!$Q:$Q,0)),0)</f>
        <v/>
      </c>
      <c r="C28" s="199">
        <f>IFERROR(INDEX(기간별손익계산서!$C:$N,MATCH($O28,기간별손익계산서!$Q:$Q,0),1),0)</f>
        <v/>
      </c>
      <c r="D28" s="199">
        <f>IFERROR(INDEX(기간별손익계산서!$C:$N,MATCH($O28,기간별손익계산서!$Q:$Q,0),2),0)</f>
        <v/>
      </c>
      <c r="E28" s="199">
        <f>IFERROR(INDEX(기간별손익계산서!$C:$N,MATCH($O28,기간별손익계산서!$Q:$Q,0),3),0)</f>
        <v/>
      </c>
      <c r="F28" s="199">
        <f>IFERROR(INDEX(기간별손익계산서!$C:$N,MATCH($O28,기간별손익계산서!$Q:$Q,0),4),0)</f>
        <v/>
      </c>
      <c r="G28" s="199">
        <f>IFERROR(INDEX(기간별손익계산서!$C:$N,MATCH($O28,기간별손익계산서!$Q:$Q,0),5),0)</f>
        <v/>
      </c>
      <c r="H28" s="199">
        <f>IFERROR(INDEX(기간별손익계산서!$C:$N,MATCH($O28,기간별손익계산서!$Q:$Q,0),6),0)</f>
        <v/>
      </c>
      <c r="I28" s="194">
        <f>IFERROR(INDEX(기간별손익계산서!$C:$N,MATCH($O28,기간별손익계산서!$Q:$Q,0),MONTH(EOMONTH(인덱스!$K$1,-1))),0)</f>
        <v/>
      </c>
      <c r="J28" s="194">
        <f>IFERROR(INDEX(기간별손익계산서!$C:$N,MATCH($O28,기간별손익계산서!$Q:$Q,0),MONTH(인덱스!$K$1)),0)</f>
        <v/>
      </c>
      <c r="K28" s="194">
        <f>J28-I28</f>
        <v/>
      </c>
      <c r="L28" s="113">
        <f>IF(J28-I28&gt;0,"증가",IF(J28-I28=0,"변동없음","감소"))</f>
        <v/>
      </c>
      <c r="M28" s="115" t="inlineStr">
        <is>
          <t>국민연금 회사부담금, 자동차세</t>
        </is>
      </c>
      <c r="N28">
        <f>SUBSTITUTE(A28," ","")</f>
        <v/>
      </c>
      <c r="O28">
        <f>N28&amp;"|"&amp;COUNTIF($N$7:N28,N28)</f>
        <v/>
      </c>
      <c r="P28" s="93">
        <f>IF($A28="","",IF(ISNUMBER(MATCH($O28,기간별손익계산서!$Q:$Q,0)),"✓ 일치","⚠ 확인필요"))</f>
        <v/>
      </c>
      <c r="Q28" s="193">
        <f>IFERROR(IF(I28=0,"",(J28-I28)/ABS(I28)),"")</f>
        <v/>
      </c>
    </row>
    <row r="29" ht="22.5" customHeight="1" s="127">
      <c r="A29" s="108" t="inlineStr">
        <is>
          <t xml:space="preserve">      감  가  상  각  비</t>
        </is>
      </c>
      <c r="B29" s="199">
        <f>IFERROR(INDEX(기간별손익계산서!$B:$B,MATCH($O29,기간별손익계산서!$Q:$Q,0)),0)</f>
        <v/>
      </c>
      <c r="C29" s="199">
        <f>IFERROR(INDEX(기간별손익계산서!$C:$N,MATCH($O29,기간별손익계산서!$Q:$Q,0),1),0)</f>
        <v/>
      </c>
      <c r="D29" s="199">
        <f>IFERROR(INDEX(기간별손익계산서!$C:$N,MATCH($O29,기간별손익계산서!$Q:$Q,0),2),0)</f>
        <v/>
      </c>
      <c r="E29" s="199">
        <f>IFERROR(INDEX(기간별손익계산서!$C:$N,MATCH($O29,기간별손익계산서!$Q:$Q,0),3),0)</f>
        <v/>
      </c>
      <c r="F29" s="199">
        <f>IFERROR(INDEX(기간별손익계산서!$C:$N,MATCH($O29,기간별손익계산서!$Q:$Q,0),4),0)</f>
        <v/>
      </c>
      <c r="G29" s="199">
        <f>IFERROR(INDEX(기간별손익계산서!$C:$N,MATCH($O29,기간별손익계산서!$Q:$Q,0),5),0)</f>
        <v/>
      </c>
      <c r="H29" s="199">
        <f>IFERROR(INDEX(기간별손익계산서!$C:$N,MATCH($O29,기간별손익계산서!$Q:$Q,0),6),0)</f>
        <v/>
      </c>
      <c r="I29" s="194">
        <f>IFERROR(INDEX(기간별손익계산서!$C:$N,MATCH($O29,기간별손익계산서!$Q:$Q,0),MONTH(EOMONTH(인덱스!$K$1,-1))),0)</f>
        <v/>
      </c>
      <c r="J29" s="194">
        <f>IFERROR(INDEX(기간별손익계산서!$C:$N,MATCH($O29,기간별손익계산서!$Q:$Q,0),MONTH(인덱스!$K$1)),0)</f>
        <v/>
      </c>
      <c r="K29" s="194">
        <f>J29-I29</f>
        <v/>
      </c>
      <c r="L29" s="113">
        <f>IF(J29-I29&gt;0,"증가",IF(J29-I29=0,"변동없음","감소"))</f>
        <v/>
      </c>
      <c r="M29" s="115" t="inlineStr">
        <is>
          <t>유형자산(건물, 차량, 기계장치, 비품) 감가상각</t>
        </is>
      </c>
      <c r="N29">
        <f>SUBSTITUTE(A29," ","")</f>
        <v/>
      </c>
      <c r="O29">
        <f>N29&amp;"|"&amp;COUNTIF($N$7:N29,N29)</f>
        <v/>
      </c>
      <c r="P29" s="93">
        <f>IF($A29="","",IF(ISNUMBER(MATCH($O29,기간별손익계산서!$Q:$Q,0)),"✓ 일치","⚠ 확인필요"))</f>
        <v/>
      </c>
      <c r="Q29" s="193">
        <f>IFERROR(IF(I29=0,"",(J29-I29)/ABS(I29)),"")</f>
        <v/>
      </c>
    </row>
    <row r="30" ht="22.5" customHeight="1" s="127">
      <c r="A30" s="108" t="inlineStr">
        <is>
          <t xml:space="preserve">      지  급  임  차  료</t>
        </is>
      </c>
      <c r="B30" s="199">
        <f>IFERROR(INDEX(기간별손익계산서!$B:$B,MATCH($O30,기간별손익계산서!$Q:$Q,0)),0)</f>
        <v/>
      </c>
      <c r="C30" s="199">
        <f>IFERROR(INDEX(기간별손익계산서!$C:$N,MATCH($O30,기간별손익계산서!$Q:$Q,0),1),0)</f>
        <v/>
      </c>
      <c r="D30" s="199">
        <f>IFERROR(INDEX(기간별손익계산서!$C:$N,MATCH($O30,기간별손익계산서!$Q:$Q,0),2),0)</f>
        <v/>
      </c>
      <c r="E30" s="199">
        <f>IFERROR(INDEX(기간별손익계산서!$C:$N,MATCH($O30,기간별손익계산서!$Q:$Q,0),3),0)</f>
        <v/>
      </c>
      <c r="F30" s="199">
        <f>IFERROR(INDEX(기간별손익계산서!$C:$N,MATCH($O30,기간별손익계산서!$Q:$Q,0),4),0)</f>
        <v/>
      </c>
      <c r="G30" s="199">
        <f>IFERROR(INDEX(기간별손익계산서!$C:$N,MATCH($O30,기간별손익계산서!$Q:$Q,0),5),0)</f>
        <v/>
      </c>
      <c r="H30" s="199">
        <f>IFERROR(INDEX(기간별손익계산서!$C:$N,MATCH($O30,기간별손익계산서!$Q:$Q,0),6),0)</f>
        <v/>
      </c>
      <c r="I30" s="194">
        <f>IFERROR(INDEX(기간별손익계산서!$C:$N,MATCH($O30,기간별손익계산서!$Q:$Q,0),MONTH(EOMONTH(인덱스!$K$1,-1))),0)</f>
        <v/>
      </c>
      <c r="J30" s="194">
        <f>IFERROR(INDEX(기간별손익계산서!$C:$N,MATCH($O30,기간별손익계산서!$Q:$Q,0),MONTH(인덱스!$K$1)),0)</f>
        <v/>
      </c>
      <c r="K30" s="194">
        <f>J30-I30</f>
        <v/>
      </c>
      <c r="L30" s="113">
        <f>IF(J30-I30&gt;0,"증가",IF(J30-I30=0,"변동없음","감소"))</f>
        <v/>
      </c>
      <c r="M30" s="115" t="inlineStr">
        <is>
          <t>구리본사:100만원, 강북:500만원, 강서:450만원, 영남:300만원</t>
        </is>
      </c>
      <c r="N30">
        <f>SUBSTITUTE(A30," ","")</f>
        <v/>
      </c>
      <c r="O30">
        <f>N30&amp;"|"&amp;COUNTIF($N$7:N30,N30)</f>
        <v/>
      </c>
      <c r="P30" s="93">
        <f>IF($A30="","",IF(ISNUMBER(MATCH($O30,기간별손익계산서!$Q:$Q,0)),"✓ 일치","⚠ 확인필요"))</f>
        <v/>
      </c>
      <c r="Q30" s="193">
        <f>IFERROR(IF(I30=0,"",(J30-I30)/ABS(I30)),"")</f>
        <v/>
      </c>
    </row>
    <row r="31" ht="22.5" customHeight="1" s="127">
      <c r="A31" s="108" t="inlineStr">
        <is>
          <t xml:space="preserve">      보      험      료</t>
        </is>
      </c>
      <c r="B31" s="199">
        <f>IFERROR(INDEX(기간별손익계산서!$B:$B,MATCH($O31,기간별손익계산서!$Q:$Q,0)),0)</f>
        <v/>
      </c>
      <c r="C31" s="199">
        <f>IFERROR(INDEX(기간별손익계산서!$C:$N,MATCH($O31,기간별손익계산서!$Q:$Q,0),1),0)</f>
        <v/>
      </c>
      <c r="D31" s="199">
        <f>IFERROR(INDEX(기간별손익계산서!$C:$N,MATCH($O31,기간별손익계산서!$Q:$Q,0),2),0)</f>
        <v/>
      </c>
      <c r="E31" s="199">
        <f>IFERROR(INDEX(기간별손익계산서!$C:$N,MATCH($O31,기간별손익계산서!$Q:$Q,0),3),0)</f>
        <v/>
      </c>
      <c r="F31" s="199">
        <f>IFERROR(INDEX(기간별손익계산서!$C:$N,MATCH($O31,기간별손익계산서!$Q:$Q,0),4),0)</f>
        <v/>
      </c>
      <c r="G31" s="199">
        <f>IFERROR(INDEX(기간별손익계산서!$C:$N,MATCH($O31,기간별손익계산서!$Q:$Q,0),5),0)</f>
        <v/>
      </c>
      <c r="H31" s="199">
        <f>IFERROR(INDEX(기간별손익계산서!$C:$N,MATCH($O31,기간별손익계산서!$Q:$Q,0),6),0)</f>
        <v/>
      </c>
      <c r="I31" s="194">
        <f>IFERROR(INDEX(기간별손익계산서!$C:$N,MATCH($O31,기간별손익계산서!$Q:$Q,0),MONTH(EOMONTH(인덱스!$K$1,-1))),0)</f>
        <v/>
      </c>
      <c r="J31" s="194">
        <f>IFERROR(INDEX(기간별손익계산서!$C:$N,MATCH($O31,기간별손익계산서!$Q:$Q,0),MONTH(인덱스!$K$1)),0)</f>
        <v/>
      </c>
      <c r="K31" s="194">
        <f>J31-I31</f>
        <v/>
      </c>
      <c r="L31" s="113">
        <f>IF(J31-I31&gt;0,"증가",IF(J31-I31=0,"변동없음","감소"))</f>
        <v/>
      </c>
      <c r="M31" s="115" t="inlineStr">
        <is>
          <t>고용/산재보험료, 차량보험료</t>
        </is>
      </c>
      <c r="N31">
        <f>SUBSTITUTE(A31," ","")</f>
        <v/>
      </c>
      <c r="O31">
        <f>N31&amp;"|"&amp;COUNTIF($N$7:N31,N31)</f>
        <v/>
      </c>
      <c r="P31" s="93">
        <f>IF($A31="","",IF(ISNUMBER(MATCH($O31,기간별손익계산서!$Q:$Q,0)),"✓ 일치","⚠ 확인필요"))</f>
        <v/>
      </c>
      <c r="Q31" s="193">
        <f>IFERROR(IF(I31=0,"",(J31-I31)/ABS(I31)),"")</f>
        <v/>
      </c>
    </row>
    <row r="32" ht="22.5" customHeight="1" s="127">
      <c r="A32" s="108" t="inlineStr">
        <is>
          <t xml:space="preserve">      차  량  유  지  비</t>
        </is>
      </c>
      <c r="B32" s="199">
        <f>IFERROR(INDEX(기간별손익계산서!$B:$B,MATCH($O32,기간별손익계산서!$Q:$Q,0)),0)</f>
        <v/>
      </c>
      <c r="C32" s="199">
        <f>IFERROR(INDEX(기간별손익계산서!$C:$N,MATCH($O32,기간별손익계산서!$Q:$Q,0),1),0)</f>
        <v/>
      </c>
      <c r="D32" s="199">
        <f>IFERROR(INDEX(기간별손익계산서!$C:$N,MATCH($O32,기간별손익계산서!$Q:$Q,0),2),0)</f>
        <v/>
      </c>
      <c r="E32" s="199">
        <f>IFERROR(INDEX(기간별손익계산서!$C:$N,MATCH($O32,기간별손익계산서!$Q:$Q,0),3),0)</f>
        <v/>
      </c>
      <c r="F32" s="199">
        <f>IFERROR(INDEX(기간별손익계산서!$C:$N,MATCH($O32,기간별손익계산서!$Q:$Q,0),4),0)</f>
        <v/>
      </c>
      <c r="G32" s="199">
        <f>IFERROR(INDEX(기간별손익계산서!$C:$N,MATCH($O32,기간별손익계산서!$Q:$Q,0),5),0)</f>
        <v/>
      </c>
      <c r="H32" s="199">
        <f>IFERROR(INDEX(기간별손익계산서!$C:$N,MATCH($O32,기간별손익계산서!$Q:$Q,0),6),0)</f>
        <v/>
      </c>
      <c r="I32" s="194">
        <f>IFERROR(INDEX(기간별손익계산서!$C:$N,MATCH($O32,기간별손익계산서!$Q:$Q,0),MONTH(EOMONTH(인덱스!$K$1,-1))),0)</f>
        <v/>
      </c>
      <c r="J32" s="194">
        <f>IFERROR(INDEX(기간별손익계산서!$C:$N,MATCH($O32,기간별손익계산서!$Q:$Q,0),MONTH(인덱스!$K$1)),0)</f>
        <v/>
      </c>
      <c r="K32" s="194">
        <f>J32-I32</f>
        <v/>
      </c>
      <c r="L32" s="113">
        <f>IF(J32-I32&gt;0,"증가",IF(J32-I32=0,"변동없음","감소"))</f>
        <v/>
      </c>
      <c r="M32" s="115" t="inlineStr">
        <is>
          <t>차량주유비, 수리비, 통행료, 주차비외 &lt;차량별 비용분석자료 참고&gt;</t>
        </is>
      </c>
      <c r="N32">
        <f>SUBSTITUTE(A32," ","")</f>
        <v/>
      </c>
      <c r="O32">
        <f>N32&amp;"|"&amp;COUNTIF($N$7:N32,N32)</f>
        <v/>
      </c>
      <c r="P32" s="93">
        <f>IF($A32="","",IF(ISNUMBER(MATCH($O32,기간별손익계산서!$Q:$Q,0)),"✓ 일치","⚠ 확인필요"))</f>
        <v/>
      </c>
      <c r="Q32" s="193">
        <f>IFERROR(IF(I32=0,"",(J32-I32)/ABS(I32)),"")</f>
        <v/>
      </c>
    </row>
    <row r="33" ht="22.5" customHeight="1" s="127">
      <c r="A33" s="108" t="inlineStr">
        <is>
          <t xml:space="preserve">      운      반      비</t>
        </is>
      </c>
      <c r="B33" s="199">
        <f>IFERROR(INDEX(기간별손익계산서!$B:$B,MATCH($O33,기간별손익계산서!$Q:$Q,0)),0)</f>
        <v/>
      </c>
      <c r="C33" s="199">
        <f>IFERROR(INDEX(기간별손익계산서!$C:$N,MATCH($O33,기간별손익계산서!$Q:$Q,0),1),0)</f>
        <v/>
      </c>
      <c r="D33" s="199">
        <f>IFERROR(INDEX(기간별손익계산서!$C:$N,MATCH($O33,기간별손익계산서!$Q:$Q,0),2),0)</f>
        <v/>
      </c>
      <c r="E33" s="199">
        <f>IFERROR(INDEX(기간별손익계산서!$C:$N,MATCH($O33,기간별손익계산서!$Q:$Q,0),3),0)</f>
        <v/>
      </c>
      <c r="F33" s="199">
        <f>IFERROR(INDEX(기간별손익계산서!$C:$N,MATCH($O33,기간별손익계산서!$Q:$Q,0),4),0)</f>
        <v/>
      </c>
      <c r="G33" s="199">
        <f>IFERROR(INDEX(기간별손익계산서!$C:$N,MATCH($O33,기간별손익계산서!$Q:$Q,0),5),0)</f>
        <v/>
      </c>
      <c r="H33" s="199">
        <f>IFERROR(INDEX(기간별손익계산서!$C:$N,MATCH($O33,기간별손익계산서!$Q:$Q,0),6),0)</f>
        <v/>
      </c>
      <c r="I33" s="194">
        <f>IFERROR(INDEX(기간별손익계산서!$C:$N,MATCH($O33,기간별손익계산서!$Q:$Q,0),MONTH(EOMONTH(인덱스!$K$1,-1))),0)</f>
        <v/>
      </c>
      <c r="J33" s="194">
        <f>IFERROR(INDEX(기간별손익계산서!$C:$N,MATCH($O33,기간별손익계산서!$Q:$Q,0),MONTH(인덱스!$K$1)),0)</f>
        <v/>
      </c>
      <c r="K33" s="194">
        <f>J33-I33</f>
        <v/>
      </c>
      <c r="L33" s="113">
        <f>IF(J33-I33&gt;0,"증가",IF(J33-I33=0,"변동없음","감소"))</f>
        <v/>
      </c>
      <c r="M33" s="115" t="inlineStr">
        <is>
          <t>본사전담택배, 퀵, 택배, 화물외 &lt;개인별 운송비 분석자료 참고&gt;</t>
        </is>
      </c>
      <c r="N33">
        <f>SUBSTITUTE(A33," ","")</f>
        <v/>
      </c>
      <c r="O33">
        <f>N33&amp;"|"&amp;COUNTIF($N$7:N33,N33)</f>
        <v/>
      </c>
      <c r="P33" s="93">
        <f>IF($A33="","",IF(ISNUMBER(MATCH($O33,기간별손익계산서!$Q:$Q,0)),"✓ 일치","⚠ 확인필요"))</f>
        <v/>
      </c>
      <c r="Q33" s="193">
        <f>IFERROR(IF(I33=0,"",(J33-I33)/ABS(I33)),"")</f>
        <v/>
      </c>
    </row>
    <row r="34" ht="22.5" customHeight="1" s="127">
      <c r="A34" s="108" t="inlineStr">
        <is>
          <t xml:space="preserve">      포      장      비</t>
        </is>
      </c>
      <c r="B34" s="199">
        <f>IFERROR(INDEX(기간별손익계산서!$B:$B,MATCH($O34,기간별손익계산서!$Q:$Q,0)),0)</f>
        <v/>
      </c>
      <c r="C34" s="199">
        <f>IFERROR(INDEX(기간별손익계산서!$C:$N,MATCH($O34,기간별손익계산서!$Q:$Q,0),1),0)</f>
        <v/>
      </c>
      <c r="D34" s="199">
        <f>IFERROR(INDEX(기간별손익계산서!$C:$N,MATCH($O34,기간별손익계산서!$Q:$Q,0),2),0)</f>
        <v/>
      </c>
      <c r="E34" s="199">
        <f>IFERROR(INDEX(기간별손익계산서!$C:$N,MATCH($O34,기간별손익계산서!$Q:$Q,0),3),0)</f>
        <v/>
      </c>
      <c r="F34" s="199">
        <f>IFERROR(INDEX(기간별손익계산서!$C:$N,MATCH($O34,기간별손익계산서!$Q:$Q,0),4),0)</f>
        <v/>
      </c>
      <c r="G34" s="199">
        <f>IFERROR(INDEX(기간별손익계산서!$C:$N,MATCH($O34,기간별손익계산서!$Q:$Q,0),5),0)</f>
        <v/>
      </c>
      <c r="H34" s="199">
        <f>IFERROR(INDEX(기간별손익계산서!$C:$N,MATCH($O34,기간별손익계산서!$Q:$Q,0),6),0)</f>
        <v/>
      </c>
      <c r="I34" s="194">
        <f>IFERROR(INDEX(기간별손익계산서!$C:$N,MATCH($O34,기간별손익계산서!$Q:$Q,0),MONTH(EOMONTH(인덱스!$K$1,-1))),0)</f>
        <v/>
      </c>
      <c r="J34" s="194">
        <f>IFERROR(INDEX(기간별손익계산서!$C:$N,MATCH($O34,기간별손익계산서!$Q:$Q,0),MONTH(인덱스!$K$1)),0)</f>
        <v/>
      </c>
      <c r="K34" s="194">
        <f>J34-I34</f>
        <v/>
      </c>
      <c r="L34" s="113">
        <f>IF(J34-I34&gt;0,"증가",IF(J34-I34=0,"변동없음","감소"))</f>
        <v/>
      </c>
      <c r="M34" s="115" t="inlineStr">
        <is>
          <t>수출포장료</t>
        </is>
      </c>
      <c r="N34">
        <f>SUBSTITUTE(A34," ","")</f>
        <v/>
      </c>
      <c r="O34">
        <f>N34&amp;"|"&amp;COUNTIF($N$7:N34,N34)</f>
        <v/>
      </c>
      <c r="P34" s="93">
        <f>IF($A34="","",IF(ISNUMBER(MATCH($O34,기간별손익계산서!$Q:$Q,0)),"✓ 일치","⚠ 확인필요"))</f>
        <v/>
      </c>
      <c r="Q34" s="193">
        <f>IFERROR(IF(I34=0,"",(J34-I34)/ABS(I34)),"")</f>
        <v/>
      </c>
    </row>
    <row r="35" ht="26.25" customHeight="1" s="127">
      <c r="A35" s="108" t="inlineStr">
        <is>
          <t xml:space="preserve">      소    모   품   비</t>
        </is>
      </c>
      <c r="B35" s="199">
        <f>IFERROR(INDEX(기간별손익계산서!$B:$B,MATCH($O35,기간별손익계산서!$Q:$Q,0)),0)</f>
        <v/>
      </c>
      <c r="C35" s="199">
        <f>IFERROR(INDEX(기간별손익계산서!$C:$N,MATCH($O35,기간별손익계산서!$Q:$Q,0),1),0)</f>
        <v/>
      </c>
      <c r="D35" s="199">
        <f>IFERROR(INDEX(기간별손익계산서!$C:$N,MATCH($O35,기간별손익계산서!$Q:$Q,0),2),0)</f>
        <v/>
      </c>
      <c r="E35" s="199">
        <f>IFERROR(INDEX(기간별손익계산서!$C:$N,MATCH($O35,기간별손익계산서!$Q:$Q,0),3),0)</f>
        <v/>
      </c>
      <c r="F35" s="199">
        <f>IFERROR(INDEX(기간별손익계산서!$C:$N,MATCH($O35,기간별손익계산서!$Q:$Q,0),4),0)</f>
        <v/>
      </c>
      <c r="G35" s="199">
        <f>IFERROR(INDEX(기간별손익계산서!$C:$N,MATCH($O35,기간별손익계산서!$Q:$Q,0),5),0)</f>
        <v/>
      </c>
      <c r="H35" s="199">
        <f>IFERROR(INDEX(기간별손익계산서!$C:$N,MATCH($O35,기간별손익계산서!$Q:$Q,0),6),0)</f>
        <v/>
      </c>
      <c r="I35" s="194">
        <f>IFERROR(INDEX(기간별손익계산서!$C:$N,MATCH($O35,기간별손익계산서!$Q:$Q,0),MONTH(EOMONTH(인덱스!$K$1,-1))),0)</f>
        <v/>
      </c>
      <c r="J35" s="194">
        <f>IFERROR(INDEX(기간별손익계산서!$C:$N,MATCH($O35,기간별손익계산서!$Q:$Q,0),MONTH(인덱스!$K$1)),0)</f>
        <v/>
      </c>
      <c r="K35" s="194">
        <f>J35-I35</f>
        <v/>
      </c>
      <c r="L35" s="113">
        <f>IF(J35-I35&gt;0,"증가",IF(J35-I35=0,"변동없음","감소"))</f>
        <v/>
      </c>
      <c r="M35" s="115" t="inlineStr">
        <is>
          <t>전지사 소모품비</t>
        </is>
      </c>
      <c r="N35">
        <f>SUBSTITUTE(A35," ","")</f>
        <v/>
      </c>
      <c r="O35">
        <f>N35&amp;"|"&amp;COUNTIF($N$7:N35,N35)</f>
        <v/>
      </c>
      <c r="P35" s="93">
        <f>IF($A35="","",IF(ISNUMBER(MATCH($O35,기간별손익계산서!$Q:$Q,0)),"✓ 일치","⚠ 확인필요"))</f>
        <v/>
      </c>
      <c r="Q35" s="193">
        <f>IFERROR(IF(I35=0,"",(J35-I35)/ABS(I35)),"")</f>
        <v/>
      </c>
    </row>
    <row r="36" ht="22.5" customHeight="1" s="127">
      <c r="A36" s="108" t="inlineStr">
        <is>
          <t xml:space="preserve">      지  급  수  수  료</t>
        </is>
      </c>
      <c r="B36" s="199">
        <f>IFERROR(INDEX(기간별손익계산서!$B:$B,MATCH($O36,기간별손익계산서!$Q:$Q,0)),0)</f>
        <v/>
      </c>
      <c r="C36" s="199">
        <f>IFERROR(INDEX(기간별손익계산서!$C:$N,MATCH($O36,기간별손익계산서!$Q:$Q,0),1),0)</f>
        <v/>
      </c>
      <c r="D36" s="199">
        <f>IFERROR(INDEX(기간별손익계산서!$C:$N,MATCH($O36,기간별손익계산서!$Q:$Q,0),2),0)</f>
        <v/>
      </c>
      <c r="E36" s="199">
        <f>IFERROR(INDEX(기간별손익계산서!$C:$N,MATCH($O36,기간별손익계산서!$Q:$Q,0),3),0)</f>
        <v/>
      </c>
      <c r="F36" s="199">
        <f>IFERROR(INDEX(기간별손익계산서!$C:$N,MATCH($O36,기간별손익계산서!$Q:$Q,0),4),0)</f>
        <v/>
      </c>
      <c r="G36" s="199">
        <f>IFERROR(INDEX(기간별손익계산서!$C:$N,MATCH($O36,기간별손익계산서!$Q:$Q,0),5),0)</f>
        <v/>
      </c>
      <c r="H36" s="199">
        <f>IFERROR(INDEX(기간별손익계산서!$C:$N,MATCH($O36,기간별손익계산서!$Q:$Q,0),6),0)</f>
        <v/>
      </c>
      <c r="I36" s="194">
        <f>IFERROR(INDEX(기간별손익계산서!$C:$N,MATCH($O36,기간별손익계산서!$Q:$Q,0),MONTH(EOMONTH(인덱스!$K$1,-1))),0)</f>
        <v/>
      </c>
      <c r="J36" s="194">
        <f>IFERROR(INDEX(기간별손익계산서!$C:$N,MATCH($O36,기간별손익계산서!$Q:$Q,0),MONTH(인덱스!$K$1)),0)</f>
        <v/>
      </c>
      <c r="K36" s="194">
        <f>J36-I36</f>
        <v/>
      </c>
      <c r="L36" s="113">
        <f>IF(J36-I36&gt;0,"증가",IF(J36-I36=0,"변동없음","감소"))</f>
        <v/>
      </c>
      <c r="M36" s="114" t="inlineStr">
        <is>
          <t>카드수수료, 차량렌트료(6대), 기타외</t>
        </is>
      </c>
      <c r="N36">
        <f>SUBSTITUTE(A36," ","")</f>
        <v/>
      </c>
      <c r="O36">
        <f>N36&amp;"|"&amp;COUNTIF($N$7:N36,N36)</f>
        <v/>
      </c>
      <c r="P36" s="93">
        <f>IF($A36="","",IF(ISNUMBER(MATCH($O36,기간별손익계산서!$Q:$Q,0)),"✓ 일치","⚠ 확인필요"))</f>
        <v/>
      </c>
      <c r="Q36" s="193">
        <f>IFERROR(IF(I36=0,"",(J36-I36)/ABS(I36)),"")</f>
        <v/>
      </c>
    </row>
    <row r="37" ht="22.5" customHeight="1" s="127">
      <c r="A37" s="108" t="inlineStr">
        <is>
          <t xml:space="preserve">      대  손  상  각  비</t>
        </is>
      </c>
      <c r="B37" s="199">
        <f>IFERROR(INDEX(기간별손익계산서!$B:$B,MATCH($O37,기간별손익계산서!$Q:$Q,0)),0)</f>
        <v/>
      </c>
      <c r="C37" s="199">
        <f>IFERROR(INDEX(기간별손익계산서!$C:$N,MATCH($O37,기간별손익계산서!$Q:$Q,0),1),0)</f>
        <v/>
      </c>
      <c r="D37" s="199">
        <f>IFERROR(INDEX(기간별손익계산서!$C:$N,MATCH($O37,기간별손익계산서!$Q:$Q,0),2),0)</f>
        <v/>
      </c>
      <c r="E37" s="199">
        <f>IFERROR(INDEX(기간별손익계산서!$C:$N,MATCH($O37,기간별손익계산서!$Q:$Q,0),3),0)</f>
        <v/>
      </c>
      <c r="F37" s="199">
        <f>IFERROR(INDEX(기간별손익계산서!$C:$N,MATCH($O37,기간별손익계산서!$Q:$Q,0),4),0)</f>
        <v/>
      </c>
      <c r="G37" s="199">
        <f>IFERROR(INDEX(기간별손익계산서!$C:$N,MATCH($O37,기간별손익계산서!$Q:$Q,0),5),0)</f>
        <v/>
      </c>
      <c r="H37" s="199">
        <f>IFERROR(INDEX(기간별손익계산서!$C:$N,MATCH($O37,기간별손익계산서!$Q:$Q,0),6),0)</f>
        <v/>
      </c>
      <c r="I37" s="194">
        <f>IFERROR(INDEX(기간별손익계산서!$C:$N,MATCH($O37,기간별손익계산서!$Q:$Q,0),MONTH(EOMONTH(인덱스!$K$1,-1))),0)</f>
        <v/>
      </c>
      <c r="J37" s="194">
        <f>IFERROR(INDEX(기간별손익계산서!$C:$N,MATCH($O37,기간별손익계산서!$Q:$Q,0),MONTH(인덱스!$K$1)),0)</f>
        <v/>
      </c>
      <c r="K37" s="194">
        <f>J37-I37</f>
        <v/>
      </c>
      <c r="L37" s="113">
        <f>IF(J37-I37&gt;0,"증가",IF(J37-I37=0,"변동없음","감소"))</f>
        <v/>
      </c>
      <c r="M37" s="115" t="inlineStr">
        <is>
          <t>대손금 충당액</t>
        </is>
      </c>
      <c r="N37">
        <f>SUBSTITUTE(A37," ","")</f>
        <v/>
      </c>
      <c r="O37">
        <f>N37&amp;"|"&amp;COUNTIF($N$7:N37,N37)</f>
        <v/>
      </c>
      <c r="P37" s="93">
        <f>IF($A37="","",IF(ISNUMBER(MATCH($O37,기간별손익계산서!$Q:$Q,0)),"✓ 일치","⚠ 확인필요"))</f>
        <v/>
      </c>
      <c r="Q37" s="193">
        <f>IFERROR(IF(I37=0,"",(J37-I37)/ABS(I37)),"")</f>
        <v/>
      </c>
    </row>
    <row r="38" ht="24" customHeight="1" s="127">
      <c r="A38" s="108" t="inlineStr">
        <is>
          <t xml:space="preserve">      수  출  제  비  용</t>
        </is>
      </c>
      <c r="B38" s="199">
        <f>IFERROR(INDEX(기간별손익계산서!$B:$B,MATCH($O38,기간별손익계산서!$Q:$Q,0)),0)</f>
        <v/>
      </c>
      <c r="C38" s="199">
        <f>IFERROR(INDEX(기간별손익계산서!$C:$N,MATCH($O38,기간별손익계산서!$Q:$Q,0),1),0)</f>
        <v/>
      </c>
      <c r="D38" s="199">
        <f>IFERROR(INDEX(기간별손익계산서!$C:$N,MATCH($O38,기간별손익계산서!$Q:$Q,0),2),0)</f>
        <v/>
      </c>
      <c r="E38" s="199">
        <f>IFERROR(INDEX(기간별손익계산서!$C:$N,MATCH($O38,기간별손익계산서!$Q:$Q,0),3),0)</f>
        <v/>
      </c>
      <c r="F38" s="199">
        <f>IFERROR(INDEX(기간별손익계산서!$C:$N,MATCH($O38,기간별손익계산서!$Q:$Q,0),4),0)</f>
        <v/>
      </c>
      <c r="G38" s="199">
        <f>IFERROR(INDEX(기간별손익계산서!$C:$N,MATCH($O38,기간별손익계산서!$Q:$Q,0),5),0)</f>
        <v/>
      </c>
      <c r="H38" s="199">
        <f>IFERROR(INDEX(기간별손익계산서!$C:$N,MATCH($O38,기간별손익계산서!$Q:$Q,0),6),0)</f>
        <v/>
      </c>
      <c r="I38" s="194">
        <f>IFERROR(INDEX(기간별손익계산서!$C:$N,MATCH($O38,기간별손익계산서!$Q:$Q,0),MONTH(EOMONTH(인덱스!$K$1,-1))),0)</f>
        <v/>
      </c>
      <c r="J38" s="194">
        <f>IFERROR(INDEX(기간별손익계산서!$C:$N,MATCH($O38,기간별손익계산서!$Q:$Q,0),MONTH(인덱스!$K$1)),0)</f>
        <v/>
      </c>
      <c r="K38" s="194">
        <f>J38-I38</f>
        <v/>
      </c>
      <c r="L38" s="113">
        <f>IF(J38-I38&gt;0,"증가",IF(J38-I38=0,"변동없음","감소"))</f>
        <v/>
      </c>
      <c r="M38" s="115" t="inlineStr">
        <is>
          <t>수출입통관</t>
        </is>
      </c>
      <c r="N38">
        <f>SUBSTITUTE(A38," ","")</f>
        <v/>
      </c>
      <c r="O38">
        <f>N38&amp;"|"&amp;COUNTIF($N$7:N38,N38)</f>
        <v/>
      </c>
      <c r="P38" s="93">
        <f>IF($A38="","",IF(ISNUMBER(MATCH($O38,기간별손익계산서!$Q:$Q,0)),"✓ 일치","⚠ 확인필요"))</f>
        <v/>
      </c>
      <c r="Q38" s="193">
        <f>IFERROR(IF(I38=0,"",(J38-I38)/ABS(I38)),"")</f>
        <v/>
      </c>
    </row>
    <row r="39" ht="22.5" customHeight="1" s="127">
      <c r="A39" s="74" t="inlineStr">
        <is>
          <t>Ⅴ  . 영    업   이   익</t>
        </is>
      </c>
      <c r="B39" s="192">
        <f>IFERROR(INDEX(기간별손익계산서!$B:$B,MATCH($O39,기간별손익계산서!$Q:$Q,0)),0)</f>
        <v/>
      </c>
      <c r="C39" s="192">
        <f>IFERROR(INDEX(기간별손익계산서!$C:$N,MATCH($O39,기간별손익계산서!$Q:$Q,0),1),0)</f>
        <v/>
      </c>
      <c r="D39" s="192">
        <f>IFERROR(INDEX(기간별손익계산서!$C:$N,MATCH($O39,기간별손익계산서!$Q:$Q,0),2),0)</f>
        <v/>
      </c>
      <c r="E39" s="192">
        <f>IFERROR(INDEX(기간별손익계산서!$C:$N,MATCH($O39,기간별손익계산서!$Q:$Q,0),3),0)</f>
        <v/>
      </c>
      <c r="F39" s="192">
        <f>IFERROR(INDEX(기간별손익계산서!$C:$N,MATCH($O39,기간별손익계산서!$Q:$Q,0),4),0)</f>
        <v/>
      </c>
      <c r="G39" s="192">
        <f>IFERROR(INDEX(기간별손익계산서!$C:$N,MATCH($O39,기간별손익계산서!$Q:$Q,0),5),0)</f>
        <v/>
      </c>
      <c r="H39" s="192">
        <f>IFERROR(INDEX(기간별손익계산서!$C:$N,MATCH($O39,기간별손익계산서!$Q:$Q,0),6),0)</f>
        <v/>
      </c>
      <c r="I39" s="192">
        <f>IFERROR(INDEX(기간별손익계산서!$C:$N,MATCH($O39,기간별손익계산서!$Q:$Q,0),MONTH(EOMONTH(인덱스!$K$1,-1))),0)</f>
        <v/>
      </c>
      <c r="J39" s="192">
        <f>IFERROR(INDEX(기간별손익계산서!$C:$N,MATCH($O39,기간별손익계산서!$Q:$Q,0),MONTH(인덱스!$K$1)),0)</f>
        <v/>
      </c>
      <c r="K39" s="192">
        <f>J39-I39</f>
        <v/>
      </c>
      <c r="L39" s="106">
        <f>IF(J39-I39&gt;0,"증가",IF(J39-I39=0,"변동없음","감소"))</f>
        <v/>
      </c>
      <c r="M39" s="107" t="n"/>
      <c r="N39">
        <f>SUBSTITUTE(A39," ","")</f>
        <v/>
      </c>
      <c r="O39">
        <f>N39&amp;"|"&amp;COUNTIF($N$7:N39,N39)</f>
        <v/>
      </c>
      <c r="P39" s="93">
        <f>IF($A39="","",IF(ISNUMBER(MATCH($O39,기간별손익계산서!$Q:$Q,0)),"✓ 일치","⚠ 확인필요"))</f>
        <v/>
      </c>
      <c r="Q39" s="193">
        <f>IFERROR(IF(I39=0,"",(J39-I39)/ABS(I39)),"")</f>
        <v/>
      </c>
    </row>
    <row r="40" ht="22.5" customHeight="1" s="127">
      <c r="A40" s="74" t="inlineStr">
        <is>
          <t>Ⅵ  . 영  업  외  수  익</t>
        </is>
      </c>
      <c r="B40" s="192">
        <f>IFERROR(INDEX(기간별손익계산서!$B:$B,MATCH($O40,기간별손익계산서!$Q:$Q,0)),0)</f>
        <v/>
      </c>
      <c r="C40" s="192">
        <f>IFERROR(INDEX(기간별손익계산서!$C:$N,MATCH($O40,기간별손익계산서!$Q:$Q,0),1),0)</f>
        <v/>
      </c>
      <c r="D40" s="192">
        <f>IFERROR(INDEX(기간별손익계산서!$C:$N,MATCH($O40,기간별손익계산서!$Q:$Q,0),2),0)</f>
        <v/>
      </c>
      <c r="E40" s="192">
        <f>IFERROR(INDEX(기간별손익계산서!$C:$N,MATCH($O40,기간별손익계산서!$Q:$Q,0),3),0)</f>
        <v/>
      </c>
      <c r="F40" s="192">
        <f>IFERROR(INDEX(기간별손익계산서!$C:$N,MATCH($O40,기간별손익계산서!$Q:$Q,0),4),0)</f>
        <v/>
      </c>
      <c r="G40" s="192">
        <f>IFERROR(INDEX(기간별손익계산서!$C:$N,MATCH($O40,기간별손익계산서!$Q:$Q,0),5),0)</f>
        <v/>
      </c>
      <c r="H40" s="192">
        <f>IFERROR(INDEX(기간별손익계산서!$C:$N,MATCH($O40,기간별손익계산서!$Q:$Q,0),6),0)</f>
        <v/>
      </c>
      <c r="I40" s="192">
        <f>IFERROR(INDEX(기간별손익계산서!$C:$N,MATCH($O40,기간별손익계산서!$Q:$Q,0),MONTH(EOMONTH(인덱스!$K$1,-1))),0)</f>
        <v/>
      </c>
      <c r="J40" s="192">
        <f>IFERROR(INDEX(기간별손익계산서!$C:$N,MATCH($O40,기간별손익계산서!$Q:$Q,0),MONTH(인덱스!$K$1)),0)</f>
        <v/>
      </c>
      <c r="K40" s="192">
        <f>J40-I40</f>
        <v/>
      </c>
      <c r="L40" s="106">
        <f>IF(J40-I40&gt;0,"증가",IF(J40-I40=0,"변동없음","감소"))</f>
        <v/>
      </c>
      <c r="M40" s="107" t="n"/>
      <c r="N40">
        <f>SUBSTITUTE(A40," ","")</f>
        <v/>
      </c>
      <c r="O40">
        <f>N40&amp;"|"&amp;COUNTIF($N$7:N40,N40)</f>
        <v/>
      </c>
      <c r="P40" s="93">
        <f>IF($A40="","",IF(ISNUMBER(MATCH($O40,기간별손익계산서!$Q:$Q,0)),"✓ 일치","⚠ 확인필요"))</f>
        <v/>
      </c>
      <c r="Q40" s="193">
        <f>IFERROR(IF(I40=0,"",(J40-I40)/ABS(I40)),"")</f>
        <v/>
      </c>
    </row>
    <row r="41" ht="22.5" customHeight="1" s="127">
      <c r="A41" s="67" t="inlineStr">
        <is>
          <t xml:space="preserve">      이    자   수   익</t>
        </is>
      </c>
      <c r="B41" s="199">
        <f>IFERROR(INDEX(기간별손익계산서!$B:$B,MATCH($O41,기간별손익계산서!$Q:$Q,0)),0)</f>
        <v/>
      </c>
      <c r="C41" s="199">
        <f>IFERROR(INDEX(기간별손익계산서!$C:$N,MATCH($O41,기간별손익계산서!$Q:$Q,0),1),0)</f>
        <v/>
      </c>
      <c r="D41" s="199">
        <f>IFERROR(INDEX(기간별손익계산서!$C:$N,MATCH($O41,기간별손익계산서!$Q:$Q,0),2),0)</f>
        <v/>
      </c>
      <c r="E41" s="199">
        <f>IFERROR(INDEX(기간별손익계산서!$C:$N,MATCH($O41,기간별손익계산서!$Q:$Q,0),3),0)</f>
        <v/>
      </c>
      <c r="F41" s="199">
        <f>IFERROR(INDEX(기간별손익계산서!$C:$N,MATCH($O41,기간별손익계산서!$Q:$Q,0),4),0)</f>
        <v/>
      </c>
      <c r="G41" s="199">
        <f>IFERROR(INDEX(기간별손익계산서!$C:$N,MATCH($O41,기간별손익계산서!$Q:$Q,0),5),0)</f>
        <v/>
      </c>
      <c r="H41" s="199">
        <f>IFERROR(INDEX(기간별손익계산서!$C:$N,MATCH($O41,기간별손익계산서!$Q:$Q,0),6),0)</f>
        <v/>
      </c>
      <c r="I41" s="194">
        <f>IFERROR(INDEX(기간별손익계산서!$C:$N,MATCH($O41,기간별손익계산서!$Q:$Q,0),MONTH(EOMONTH(인덱스!$K$1,-1))),0)</f>
        <v/>
      </c>
      <c r="J41" s="194">
        <f>IFERROR(INDEX(기간별손익계산서!$C:$N,MATCH($O41,기간별손익계산서!$Q:$Q,0),MONTH(인덱스!$K$1)),0)</f>
        <v/>
      </c>
      <c r="K41" s="194">
        <f>J41-I41</f>
        <v/>
      </c>
      <c r="L41" s="113">
        <f>IF(J41-I41&gt;0,"증가",IF(J41-I41=0,"변동없음","감소"))</f>
        <v/>
      </c>
      <c r="M41" s="115" t="inlineStr">
        <is>
          <t>단기금융상품 이자수익</t>
        </is>
      </c>
      <c r="N41">
        <f>SUBSTITUTE(A41," ","")</f>
        <v/>
      </c>
      <c r="O41">
        <f>N41&amp;"|"&amp;COUNTIF($N$7:N41,N41)</f>
        <v/>
      </c>
      <c r="P41" s="93">
        <f>IF($A41="","",IF(ISNUMBER(MATCH($O41,기간별손익계산서!$Q:$Q,0)),"✓ 일치","⚠ 확인필요"))</f>
        <v/>
      </c>
      <c r="Q41" s="193">
        <f>IFERROR(IF(I41=0,"",(J41-I41)/ABS(I41)),"")</f>
        <v/>
      </c>
    </row>
    <row r="42" ht="22.5" customHeight="1" s="127">
      <c r="A42" s="67" t="inlineStr">
        <is>
          <t xml:space="preserve">      외    환  차    익</t>
        </is>
      </c>
      <c r="B42" s="199">
        <f>IFERROR(INDEX(기간별손익계산서!$B:$B,MATCH($O42,기간별손익계산서!$Q:$Q,0)),0)</f>
        <v/>
      </c>
      <c r="C42" s="199">
        <f>IFERROR(INDEX(기간별손익계산서!$C:$N,MATCH($O42,기간별손익계산서!$Q:$Q,0),1),0)</f>
        <v/>
      </c>
      <c r="D42" s="199">
        <f>IFERROR(INDEX(기간별손익계산서!$C:$N,MATCH($O42,기간별손익계산서!$Q:$Q,0),2),0)</f>
        <v/>
      </c>
      <c r="E42" s="199">
        <f>IFERROR(INDEX(기간별손익계산서!$C:$N,MATCH($O42,기간별손익계산서!$Q:$Q,0),3),0)</f>
        <v/>
      </c>
      <c r="F42" s="199">
        <f>IFERROR(INDEX(기간별손익계산서!$C:$N,MATCH($O42,기간별손익계산서!$Q:$Q,0),4),0)</f>
        <v/>
      </c>
      <c r="G42" s="199">
        <f>IFERROR(INDEX(기간별손익계산서!$C:$N,MATCH($O42,기간별손익계산서!$Q:$Q,0),5),0)</f>
        <v/>
      </c>
      <c r="H42" s="199">
        <f>IFERROR(INDEX(기간별손익계산서!$C:$N,MATCH($O42,기간별손익계산서!$Q:$Q,0),6),0)</f>
        <v/>
      </c>
      <c r="I42" s="194">
        <f>IFERROR(INDEX(기간별손익계산서!$C:$N,MATCH($O42,기간별손익계산서!$Q:$Q,0),MONTH(EOMONTH(인덱스!$K$1,-1))),0)</f>
        <v/>
      </c>
      <c r="J42" s="194">
        <f>IFERROR(INDEX(기간별손익계산서!$C:$N,MATCH($O42,기간별손익계산서!$Q:$Q,0),MONTH(인덱스!$K$1)),0)</f>
        <v/>
      </c>
      <c r="K42" s="194">
        <f>J42-I42</f>
        <v/>
      </c>
      <c r="L42" s="113">
        <f>IF(J42-I42&gt;0,"증가",IF(J42-I42=0,"변동없음","감소"))</f>
        <v/>
      </c>
      <c r="M42" s="110" t="n"/>
      <c r="N42">
        <f>SUBSTITUTE(A42," ","")</f>
        <v/>
      </c>
      <c r="O42">
        <f>N42&amp;"|"&amp;COUNTIF($N$7:N42,N42)</f>
        <v/>
      </c>
      <c r="P42" s="93">
        <f>IF($A42="","",IF(ISNUMBER(MATCH($O42,기간별손익계산서!$Q:$Q,0)),"✓ 일치","⚠ 확인필요"))</f>
        <v/>
      </c>
      <c r="Q42" s="193">
        <f>IFERROR(IF(I42=0,"",(J42-I42)/ABS(I42)),"")</f>
        <v/>
      </c>
    </row>
    <row r="43" ht="22.5" customHeight="1" s="127">
      <c r="A43" s="67" t="inlineStr">
        <is>
          <t xml:space="preserve">      유형자산  처분이익</t>
        </is>
      </c>
      <c r="B43" s="199">
        <f>IFERROR(INDEX(기간별손익계산서!$B:$B,MATCH($O43,기간별손익계산서!$Q:$Q,0)),0)</f>
        <v/>
      </c>
      <c r="C43" s="199">
        <f>IFERROR(INDEX(기간별손익계산서!$C:$N,MATCH($O43,기간별손익계산서!$Q:$Q,0),1),0)</f>
        <v/>
      </c>
      <c r="D43" s="199">
        <f>IFERROR(INDEX(기간별손익계산서!$C:$N,MATCH($O43,기간별손익계산서!$Q:$Q,0),2),0)</f>
        <v/>
      </c>
      <c r="E43" s="199">
        <f>IFERROR(INDEX(기간별손익계산서!$C:$N,MATCH($O43,기간별손익계산서!$Q:$Q,0),3),0)</f>
        <v/>
      </c>
      <c r="F43" s="199">
        <f>IFERROR(INDEX(기간별손익계산서!$C:$N,MATCH($O43,기간별손익계산서!$Q:$Q,0),4),0)</f>
        <v/>
      </c>
      <c r="G43" s="199">
        <f>IFERROR(INDEX(기간별손익계산서!$C:$N,MATCH($O43,기간별손익계산서!$Q:$Q,0),5),0)</f>
        <v/>
      </c>
      <c r="H43" s="199">
        <f>IFERROR(INDEX(기간별손익계산서!$C:$N,MATCH($O43,기간별손익계산서!$Q:$Q,0),6),0)</f>
        <v/>
      </c>
      <c r="I43" s="194">
        <f>IFERROR(INDEX(기간별손익계산서!$C:$N,MATCH($O43,기간별손익계산서!$Q:$Q,0),MONTH(EOMONTH(인덱스!$K$1,-1))),0)</f>
        <v/>
      </c>
      <c r="J43" s="194">
        <f>IFERROR(INDEX(기간별손익계산서!$C:$N,MATCH($O43,기간별손익계산서!$Q:$Q,0),MONTH(인덱스!$K$1)),0)</f>
        <v/>
      </c>
      <c r="K43" s="194">
        <f>J43-I43</f>
        <v/>
      </c>
      <c r="L43" s="113">
        <f>IF(J43-I43&gt;0,"증가",IF(J43-I43=0,"변동없음","감소"))</f>
        <v/>
      </c>
      <c r="M43" s="110" t="n"/>
      <c r="N43">
        <f>SUBSTITUTE(A43," ","")</f>
        <v/>
      </c>
      <c r="O43">
        <f>N43&amp;"|"&amp;COUNTIF($N$7:N43,N43)</f>
        <v/>
      </c>
      <c r="P43" s="93">
        <f>IF($A43="","",IF(ISNUMBER(MATCH($O43,기간별손익계산서!$Q:$Q,0)),"✓ 일치","⚠ 확인필요"))</f>
        <v/>
      </c>
      <c r="Q43" s="193">
        <f>IFERROR(IF(I43=0,"",(J43-I43)/ABS(I43)),"")</f>
        <v/>
      </c>
    </row>
    <row r="44" ht="22.5" customHeight="1" s="127">
      <c r="A44" s="67" t="inlineStr">
        <is>
          <t xml:space="preserve">      투자자산  처분이익</t>
        </is>
      </c>
      <c r="B44" s="199">
        <f>IFERROR(INDEX(기간별손익계산서!$B:$B,MATCH($O44,기간별손익계산서!$Q:$Q,0)),0)</f>
        <v/>
      </c>
      <c r="C44" s="199">
        <f>IFERROR(INDEX(기간별손익계산서!$C:$N,MATCH($O44,기간별손익계산서!$Q:$Q,0),1),0)</f>
        <v/>
      </c>
      <c r="D44" s="199">
        <f>IFERROR(INDEX(기간별손익계산서!$C:$N,MATCH($O44,기간별손익계산서!$Q:$Q,0),2),0)</f>
        <v/>
      </c>
      <c r="E44" s="199">
        <f>IFERROR(INDEX(기간별손익계산서!$C:$N,MATCH($O44,기간별손익계산서!$Q:$Q,0),3),0)</f>
        <v/>
      </c>
      <c r="F44" s="199">
        <f>IFERROR(INDEX(기간별손익계산서!$C:$N,MATCH($O44,기간별손익계산서!$Q:$Q,0),4),0)</f>
        <v/>
      </c>
      <c r="G44" s="199">
        <f>IFERROR(INDEX(기간별손익계산서!$C:$N,MATCH($O44,기간별손익계산서!$Q:$Q,0),5),0)</f>
        <v/>
      </c>
      <c r="H44" s="199">
        <f>IFERROR(INDEX(기간별손익계산서!$C:$N,MATCH($O44,기간별손익계산서!$Q:$Q,0),6),0)</f>
        <v/>
      </c>
      <c r="I44" s="194">
        <f>IFERROR(INDEX(기간별손익계산서!$C:$N,MATCH($O44,기간별손익계산서!$Q:$Q,0),MONTH(EOMONTH(인덱스!$K$1,-1))),0)</f>
        <v/>
      </c>
      <c r="J44" s="194">
        <f>IFERROR(INDEX(기간별손익계산서!$C:$N,MATCH($O44,기간별손익계산서!$Q:$Q,0),MONTH(인덱스!$K$1)),0)</f>
        <v/>
      </c>
      <c r="K44" s="194">
        <f>J44-I44</f>
        <v/>
      </c>
      <c r="L44" s="113">
        <f>IF(J44-I44&gt;0,"증가",IF(J44-I44=0,"변동없음","감소"))</f>
        <v/>
      </c>
      <c r="M44" s="110" t="n"/>
      <c r="N44">
        <f>SUBSTITUTE(A44," ","")</f>
        <v/>
      </c>
      <c r="O44">
        <f>N44&amp;"|"&amp;COUNTIF($N$7:N44,N44)</f>
        <v/>
      </c>
      <c r="P44" s="93">
        <f>IF($A44="","",IF(ISNUMBER(MATCH($O44,기간별손익계산서!$Q:$Q,0)),"✓ 일치","⚠ 확인필요"))</f>
        <v/>
      </c>
      <c r="Q44" s="193">
        <f>IFERROR(IF(I44=0,"",(J44-I44)/ABS(I44)),"")</f>
        <v/>
      </c>
    </row>
    <row r="45" ht="22.5" customHeight="1" s="127">
      <c r="A45" s="67" t="inlineStr">
        <is>
          <t xml:space="preserve">      잡      이      익</t>
        </is>
      </c>
      <c r="B45" s="199">
        <f>IFERROR(INDEX(기간별손익계산서!$B:$B,MATCH($O45,기간별손익계산서!$Q:$Q,0)),0)</f>
        <v/>
      </c>
      <c r="C45" s="199">
        <f>IFERROR(INDEX(기간별손익계산서!$C:$N,MATCH($O45,기간별손익계산서!$Q:$Q,0),1),0)</f>
        <v/>
      </c>
      <c r="D45" s="199">
        <f>IFERROR(INDEX(기간별손익계산서!$C:$N,MATCH($O45,기간별손익계산서!$Q:$Q,0),2),0)</f>
        <v/>
      </c>
      <c r="E45" s="199">
        <f>IFERROR(INDEX(기간별손익계산서!$C:$N,MATCH($O45,기간별손익계산서!$Q:$Q,0),3),0)</f>
        <v/>
      </c>
      <c r="F45" s="199">
        <f>IFERROR(INDEX(기간별손익계산서!$C:$N,MATCH($O45,기간별손익계산서!$Q:$Q,0),4),0)</f>
        <v/>
      </c>
      <c r="G45" s="199">
        <f>IFERROR(INDEX(기간별손익계산서!$C:$N,MATCH($O45,기간별손익계산서!$Q:$Q,0),5),0)</f>
        <v/>
      </c>
      <c r="H45" s="199">
        <f>IFERROR(INDEX(기간별손익계산서!$C:$N,MATCH($O45,기간별손익계산서!$Q:$Q,0),6),0)</f>
        <v/>
      </c>
      <c r="I45" s="194">
        <f>IFERROR(INDEX(기간별손익계산서!$C:$N,MATCH($O45,기간별손익계산서!$Q:$Q,0),MONTH(EOMONTH(인덱스!$K$1,-1))),0)</f>
        <v/>
      </c>
      <c r="J45" s="194">
        <f>IFERROR(INDEX(기간별손익계산서!$C:$N,MATCH($O45,기간별손익계산서!$Q:$Q,0),MONTH(인덱스!$K$1)),0)</f>
        <v/>
      </c>
      <c r="K45" s="194">
        <f>J45-I45</f>
        <v/>
      </c>
      <c r="L45" s="113">
        <f>IF(J45-I45&gt;0,"증가",IF(J45-I45=0,"변동없음","감소"))</f>
        <v/>
      </c>
      <c r="M45" s="116" t="inlineStr">
        <is>
          <t>단기대여금이자(윤인희)외</t>
        </is>
      </c>
      <c r="N45">
        <f>SUBSTITUTE(A45," ","")</f>
        <v/>
      </c>
      <c r="O45">
        <f>N45&amp;"|"&amp;COUNTIF($N$7:N45,N45)</f>
        <v/>
      </c>
      <c r="P45" s="93">
        <f>IF($A45="","",IF(ISNUMBER(MATCH($O45,기간별손익계산서!$Q:$Q,0)),"✓ 일치","⚠ 확인필요"))</f>
        <v/>
      </c>
      <c r="Q45" s="193">
        <f>IFERROR(IF(I45=0,"",(J45-I45)/ABS(I45)),"")</f>
        <v/>
      </c>
    </row>
    <row r="46" ht="22.5" customHeight="1" s="127">
      <c r="A46" s="74" t="inlineStr">
        <is>
          <t>Ⅶ  . 영  업  외  비  용</t>
        </is>
      </c>
      <c r="B46" s="200">
        <f>IFERROR(INDEX(기간별손익계산서!$B:$B,MATCH($O46,기간별손익계산서!$Q:$Q,0)),0)</f>
        <v/>
      </c>
      <c r="C46" s="200">
        <f>IFERROR(INDEX(기간별손익계산서!$C:$N,MATCH($O46,기간별손익계산서!$Q:$Q,0),1),0)</f>
        <v/>
      </c>
      <c r="D46" s="200">
        <f>IFERROR(INDEX(기간별손익계산서!$C:$N,MATCH($O46,기간별손익계산서!$Q:$Q,0),2),0)</f>
        <v/>
      </c>
      <c r="E46" s="200">
        <f>IFERROR(INDEX(기간별손익계산서!$C:$N,MATCH($O46,기간별손익계산서!$Q:$Q,0),3),0)</f>
        <v/>
      </c>
      <c r="F46" s="200">
        <f>IFERROR(INDEX(기간별손익계산서!$C:$N,MATCH($O46,기간별손익계산서!$Q:$Q,0),4),0)</f>
        <v/>
      </c>
      <c r="G46" s="200">
        <f>IFERROR(INDEX(기간별손익계산서!$C:$N,MATCH($O46,기간별손익계산서!$Q:$Q,0),5),0)</f>
        <v/>
      </c>
      <c r="H46" s="200">
        <f>IFERROR(INDEX(기간별손익계산서!$C:$N,MATCH($O46,기간별손익계산서!$Q:$Q,0),6),0)</f>
        <v/>
      </c>
      <c r="I46" s="192">
        <f>IFERROR(INDEX(기간별손익계산서!$C:$N,MATCH($O46,기간별손익계산서!$Q:$Q,0),MONTH(EOMONTH(인덱스!$K$1,-1))),0)</f>
        <v/>
      </c>
      <c r="J46" s="192">
        <f>IFERROR(INDEX(기간별손익계산서!$C:$N,MATCH($O46,기간별손익계산서!$Q:$Q,0),MONTH(인덱스!$K$1)),0)</f>
        <v/>
      </c>
      <c r="K46" s="192">
        <f>J46-I46</f>
        <v/>
      </c>
      <c r="L46" s="106">
        <f>IF(J46-I46&gt;0,"증가",IF(J46-I46=0,"변동없음","감소"))</f>
        <v/>
      </c>
      <c r="M46" s="107" t="n"/>
      <c r="N46">
        <f>SUBSTITUTE(A46," ","")</f>
        <v/>
      </c>
      <c r="O46">
        <f>N46&amp;"|"&amp;COUNTIF($N$7:N46,N46)</f>
        <v/>
      </c>
      <c r="P46" s="93">
        <f>IF($A46="","",IF(ISNUMBER(MATCH($O46,기간별손익계산서!$Q:$Q,0)),"✓ 일치","⚠ 확인필요"))</f>
        <v/>
      </c>
      <c r="Q46" s="193">
        <f>IFERROR(IF(I46=0,"",(J46-I46)/ABS(I46)),"")</f>
        <v/>
      </c>
    </row>
    <row r="47" ht="22.5" customHeight="1" s="127">
      <c r="A47" s="67" t="inlineStr">
        <is>
          <t xml:space="preserve">      이   자    비   용</t>
        </is>
      </c>
      <c r="B47" s="199">
        <f>IFERROR(INDEX(기간별손익계산서!$B:$B,MATCH($O47,기간별손익계산서!$Q:$Q,0)),0)</f>
        <v/>
      </c>
      <c r="C47" s="199">
        <f>IFERROR(INDEX(기간별손익계산서!$C:$N,MATCH($O47,기간별손익계산서!$Q:$Q,0),1),0)</f>
        <v/>
      </c>
      <c r="D47" s="199">
        <f>IFERROR(INDEX(기간별손익계산서!$C:$N,MATCH($O47,기간별손익계산서!$Q:$Q,0),2),0)</f>
        <v/>
      </c>
      <c r="E47" s="199">
        <f>IFERROR(INDEX(기간별손익계산서!$C:$N,MATCH($O47,기간별손익계산서!$Q:$Q,0),3),0)</f>
        <v/>
      </c>
      <c r="F47" s="199">
        <f>IFERROR(INDEX(기간별손익계산서!$C:$N,MATCH($O47,기간별손익계산서!$Q:$Q,0),4),0)</f>
        <v/>
      </c>
      <c r="G47" s="199">
        <f>IFERROR(INDEX(기간별손익계산서!$C:$N,MATCH($O47,기간별손익계산서!$Q:$Q,0),5),0)</f>
        <v/>
      </c>
      <c r="H47" s="199">
        <f>IFERROR(INDEX(기간별손익계산서!$C:$N,MATCH($O47,기간별손익계산서!$Q:$Q,0),6),0)</f>
        <v/>
      </c>
      <c r="I47" s="194">
        <f>IFERROR(INDEX(기간별손익계산서!$C:$N,MATCH($O47,기간별손익계산서!$Q:$Q,0),MONTH(EOMONTH(인덱스!$K$1,-1))),0)</f>
        <v/>
      </c>
      <c r="J47" s="194">
        <f>IFERROR(INDEX(기간별손익계산서!$C:$N,MATCH($O47,기간별손익계산서!$Q:$Q,0),MONTH(인덱스!$K$1)),0)</f>
        <v/>
      </c>
      <c r="K47" s="194">
        <f>J47-I47</f>
        <v/>
      </c>
      <c r="L47" s="113">
        <f>IF(J47-I47&gt;0,"증가",IF(J47-I47=0,"변동없음","감소"))</f>
        <v/>
      </c>
      <c r="M47" s="110" t="n"/>
      <c r="N47">
        <f>SUBSTITUTE(A47," ","")</f>
        <v/>
      </c>
      <c r="O47">
        <f>N47&amp;"|"&amp;COUNTIF($N$7:N47,N47)</f>
        <v/>
      </c>
      <c r="P47" s="93">
        <f>IF($A47="","",IF(ISNUMBER(MATCH($O47,기간별손익계산서!$Q:$Q,0)),"✓ 일치","⚠ 확인필요"))</f>
        <v/>
      </c>
      <c r="Q47" s="193">
        <f>IFERROR(IF(I47=0,"",(J47-I47)/ABS(I47)),"")</f>
        <v/>
      </c>
    </row>
    <row r="48" ht="22.5" customHeight="1" s="127">
      <c r="A48" s="67" t="inlineStr">
        <is>
          <t xml:space="preserve">      외   환    차   손</t>
        </is>
      </c>
      <c r="B48" s="199">
        <f>IFERROR(INDEX(기간별손익계산서!$B:$B,MATCH($O48,기간별손익계산서!$Q:$Q,0)),0)</f>
        <v/>
      </c>
      <c r="C48" s="199">
        <f>IFERROR(INDEX(기간별손익계산서!$C:$N,MATCH($O48,기간별손익계산서!$Q:$Q,0),1),0)</f>
        <v/>
      </c>
      <c r="D48" s="199">
        <f>IFERROR(INDEX(기간별손익계산서!$C:$N,MATCH($O48,기간별손익계산서!$Q:$Q,0),2),0)</f>
        <v/>
      </c>
      <c r="E48" s="199">
        <f>IFERROR(INDEX(기간별손익계산서!$C:$N,MATCH($O48,기간별손익계산서!$Q:$Q,0),3),0)</f>
        <v/>
      </c>
      <c r="F48" s="199">
        <f>IFERROR(INDEX(기간별손익계산서!$C:$N,MATCH($O48,기간별손익계산서!$Q:$Q,0),4),0)</f>
        <v/>
      </c>
      <c r="G48" s="199">
        <f>IFERROR(INDEX(기간별손익계산서!$C:$N,MATCH($O48,기간별손익계산서!$Q:$Q,0),5),0)</f>
        <v/>
      </c>
      <c r="H48" s="199">
        <f>IFERROR(INDEX(기간별손익계산서!$C:$N,MATCH($O48,기간별손익계산서!$Q:$Q,0),6),0)</f>
        <v/>
      </c>
      <c r="I48" s="194">
        <f>IFERROR(INDEX(기간별손익계산서!$C:$N,MATCH($O48,기간별손익계산서!$Q:$Q,0),MONTH(EOMONTH(인덱스!$K$1,-1))),0)</f>
        <v/>
      </c>
      <c r="J48" s="194">
        <f>IFERROR(INDEX(기간별손익계산서!$C:$N,MATCH($O48,기간별손익계산서!$Q:$Q,0),MONTH(인덱스!$K$1)),0)</f>
        <v/>
      </c>
      <c r="K48" s="194">
        <f>J48-I48</f>
        <v/>
      </c>
      <c r="L48" s="113">
        <f>IF(J48-I48&gt;0,"증가",IF(J48-I48=0,"변동없음","감소"))</f>
        <v/>
      </c>
      <c r="M48" s="110" t="n"/>
      <c r="N48">
        <f>SUBSTITUTE(A48," ","")</f>
        <v/>
      </c>
      <c r="O48">
        <f>N48&amp;"|"&amp;COUNTIF($N$7:N48,N48)</f>
        <v/>
      </c>
      <c r="P48" s="93">
        <f>IF($A48="","",IF(ISNUMBER(MATCH($O48,기간별손익계산서!$Q:$Q,0)),"✓ 일치","⚠ 확인필요"))</f>
        <v/>
      </c>
      <c r="Q48" s="193">
        <f>IFERROR(IF(I48=0,"",(J48-I48)/ABS(I48)),"")</f>
        <v/>
      </c>
    </row>
    <row r="49" ht="22.5" customHeight="1" s="127">
      <c r="A49" s="67" t="inlineStr">
        <is>
          <t xml:space="preserve">      유형자산  처분손실</t>
        </is>
      </c>
      <c r="B49" s="199">
        <f>IFERROR(INDEX(기간별손익계산서!$B:$B,MATCH($O49,기간별손익계산서!$Q:$Q,0)),0)</f>
        <v/>
      </c>
      <c r="C49" s="199">
        <f>IFERROR(INDEX(기간별손익계산서!$C:$N,MATCH($O49,기간별손익계산서!$Q:$Q,0),1),0)</f>
        <v/>
      </c>
      <c r="D49" s="199">
        <f>IFERROR(INDEX(기간별손익계산서!$C:$N,MATCH($O49,기간별손익계산서!$Q:$Q,0),2),0)</f>
        <v/>
      </c>
      <c r="E49" s="199">
        <f>IFERROR(INDEX(기간별손익계산서!$C:$N,MATCH($O49,기간별손익계산서!$Q:$Q,0),3),0)</f>
        <v/>
      </c>
      <c r="F49" s="199">
        <f>IFERROR(INDEX(기간별손익계산서!$C:$N,MATCH($O49,기간별손익계산서!$Q:$Q,0),4),0)</f>
        <v/>
      </c>
      <c r="G49" s="199">
        <f>IFERROR(INDEX(기간별손익계산서!$C:$N,MATCH($O49,기간별손익계산서!$Q:$Q,0),5),0)</f>
        <v/>
      </c>
      <c r="H49" s="199">
        <f>IFERROR(INDEX(기간별손익계산서!$C:$N,MATCH($O49,기간별손익계산서!$Q:$Q,0),6),0)</f>
        <v/>
      </c>
      <c r="I49" s="194">
        <f>IFERROR(INDEX(기간별손익계산서!$C:$N,MATCH($O49,기간별손익계산서!$Q:$Q,0),MONTH(EOMONTH(인덱스!$K$1,-1))),0)</f>
        <v/>
      </c>
      <c r="J49" s="194">
        <f>IFERROR(INDEX(기간별손익계산서!$C:$N,MATCH($O49,기간별손익계산서!$Q:$Q,0),MONTH(인덱스!$K$1)),0)</f>
        <v/>
      </c>
      <c r="K49" s="194">
        <f>J49-I49</f>
        <v/>
      </c>
      <c r="L49" s="113">
        <f>IF(J49-I49&gt;0,"증가",IF(J49-I49=0,"변동없음","감소"))</f>
        <v/>
      </c>
      <c r="M49" s="110" t="n"/>
      <c r="N49">
        <f>SUBSTITUTE(A49," ","")</f>
        <v/>
      </c>
      <c r="O49">
        <f>N49&amp;"|"&amp;COUNTIF($N$7:N49,N49)</f>
        <v/>
      </c>
      <c r="P49" s="93">
        <f>IF($A49="","",IF(ISNUMBER(MATCH($O49,기간별손익계산서!$Q:$Q,0)),"✓ 일치","⚠ 확인필요"))</f>
        <v/>
      </c>
      <c r="Q49" s="193">
        <f>IFERROR(IF(I49=0,"",(J49-I49)/ABS(I49)),"")</f>
        <v/>
      </c>
    </row>
    <row r="50" ht="22.5" customHeight="1" s="127">
      <c r="A50" s="67" t="inlineStr">
        <is>
          <t xml:space="preserve">      잡      손      실</t>
        </is>
      </c>
      <c r="B50" s="199">
        <f>IFERROR(INDEX(기간별손익계산서!$B:$B,MATCH($O50,기간별손익계산서!$Q:$Q,0)),0)</f>
        <v/>
      </c>
      <c r="C50" s="199">
        <f>IFERROR(INDEX(기간별손익계산서!$C:$N,MATCH($O50,기간별손익계산서!$Q:$Q,0),1),0)</f>
        <v/>
      </c>
      <c r="D50" s="199">
        <f>IFERROR(INDEX(기간별손익계산서!$C:$N,MATCH($O50,기간별손익계산서!$Q:$Q,0),2),0)</f>
        <v/>
      </c>
      <c r="E50" s="199">
        <f>IFERROR(INDEX(기간별손익계산서!$C:$N,MATCH($O50,기간별손익계산서!$Q:$Q,0),3),0)</f>
        <v/>
      </c>
      <c r="F50" s="199">
        <f>IFERROR(INDEX(기간별손익계산서!$C:$N,MATCH($O50,기간별손익계산서!$Q:$Q,0),4),0)</f>
        <v/>
      </c>
      <c r="G50" s="199">
        <f>IFERROR(INDEX(기간별손익계산서!$C:$N,MATCH($O50,기간별손익계산서!$Q:$Q,0),5),0)</f>
        <v/>
      </c>
      <c r="H50" s="199">
        <f>IFERROR(INDEX(기간별손익계산서!$C:$N,MATCH($O50,기간별손익계산서!$Q:$Q,0),6),0)</f>
        <v/>
      </c>
      <c r="I50" s="194">
        <f>IFERROR(INDEX(기간별손익계산서!$C:$N,MATCH($O50,기간별손익계산서!$Q:$Q,0),MONTH(EOMONTH(인덱스!$K$1,-1))),0)</f>
        <v/>
      </c>
      <c r="J50" s="194">
        <f>IFERROR(INDEX(기간별손익계산서!$C:$N,MATCH($O50,기간별손익계산서!$Q:$Q,0),MONTH(인덱스!$K$1)),0)</f>
        <v/>
      </c>
      <c r="K50" s="194">
        <f>J50-I50</f>
        <v/>
      </c>
      <c r="L50" s="113">
        <f>IF(J50-I50&gt;0,"증가",IF(J50-I50=0,"변동없음","감소"))</f>
        <v/>
      </c>
      <c r="M50" s="110" t="n"/>
      <c r="N50">
        <f>SUBSTITUTE(A50," ","")</f>
        <v/>
      </c>
      <c r="O50">
        <f>N50&amp;"|"&amp;COUNTIF($N$7:N50,N50)</f>
        <v/>
      </c>
      <c r="P50" s="93">
        <f>IF($A50="","",IF(ISNUMBER(MATCH($O50,기간별손익계산서!$Q:$Q,0)),"✓ 일치","⚠ 확인필요"))</f>
        <v/>
      </c>
      <c r="Q50" s="193">
        <f>IFERROR(IF(I50=0,"",(J50-I50)/ABS(I50)),"")</f>
        <v/>
      </c>
    </row>
    <row r="51" ht="24" customHeight="1" s="127">
      <c r="A51" s="108" t="inlineStr">
        <is>
          <t xml:space="preserve">      법 인 세  추 납 액</t>
        </is>
      </c>
      <c r="B51" s="199">
        <f>IFERROR(INDEX(기간별손익계산서!$B:$B,MATCH($O51,기간별손익계산서!$Q:$Q,0)),0)</f>
        <v/>
      </c>
      <c r="C51" s="199">
        <f>IFERROR(INDEX(기간별손익계산서!$C:$N,MATCH($O51,기간별손익계산서!$Q:$Q,0),1),0)</f>
        <v/>
      </c>
      <c r="D51" s="199">
        <f>IFERROR(INDEX(기간별손익계산서!$C:$N,MATCH($O51,기간별손익계산서!$Q:$Q,0),2),0)</f>
        <v/>
      </c>
      <c r="E51" s="199">
        <f>IFERROR(INDEX(기간별손익계산서!$C:$N,MATCH($O51,기간별손익계산서!$Q:$Q,0),3),0)</f>
        <v/>
      </c>
      <c r="F51" s="199">
        <f>IFERROR(INDEX(기간별손익계산서!$C:$N,MATCH($O51,기간별손익계산서!$Q:$Q,0),4),0)</f>
        <v/>
      </c>
      <c r="G51" s="199">
        <f>IFERROR(INDEX(기간별손익계산서!$C:$N,MATCH($O51,기간별손익계산서!$Q:$Q,0),5),0)</f>
        <v/>
      </c>
      <c r="H51" s="199">
        <f>IFERROR(INDEX(기간별손익계산서!$C:$N,MATCH($O51,기간별손익계산서!$Q:$Q,0),6),0)</f>
        <v/>
      </c>
      <c r="I51" s="194">
        <f>IFERROR(INDEX(기간별손익계산서!$C:$N,MATCH($O51,기간별손익계산서!$Q:$Q,0),MONTH(EOMONTH(인덱스!$K$1,-1))),0)</f>
        <v/>
      </c>
      <c r="J51" s="194">
        <f>IFERROR(INDEX(기간별손익계산서!$C:$N,MATCH($O51,기간별손익계산서!$Q:$Q,0),MONTH(인덱스!$K$1)),0)</f>
        <v/>
      </c>
      <c r="K51" s="194">
        <f>J51-I51</f>
        <v/>
      </c>
      <c r="L51" s="113">
        <f>IF(J51-I51&gt;0,"증가",IF(J51-I51=0,"변동없음","감소"))</f>
        <v/>
      </c>
      <c r="M51" s="110" t="n"/>
      <c r="N51">
        <f>SUBSTITUTE(A51," ","")</f>
        <v/>
      </c>
      <c r="O51">
        <f>N51&amp;"|"&amp;COUNTIF($N$7:N51,N51)</f>
        <v/>
      </c>
      <c r="P51" s="93">
        <f>IF($A51="","",IF(ISNUMBER(MATCH($O51,기간별손익계산서!$Q:$Q,0)),"✓ 일치","⚠ 확인필요"))</f>
        <v/>
      </c>
      <c r="Q51" s="193">
        <f>IFERROR(IF(I51=0,"",(J51-I51)/ABS(I51)),"")</f>
        <v/>
      </c>
    </row>
    <row r="52" ht="22.5" customHeight="1" s="127">
      <c r="A52" s="74" t="inlineStr">
        <is>
          <t>Ⅷ  . 법인세비용차감전순이익</t>
        </is>
      </c>
      <c r="B52" s="192">
        <f>IFERROR(INDEX(기간별손익계산서!$B:$B,MATCH($O52,기간별손익계산서!$Q:$Q,0)),0)</f>
        <v/>
      </c>
      <c r="C52" s="192">
        <f>IFERROR(INDEX(기간별손익계산서!$C:$N,MATCH($O52,기간별손익계산서!$Q:$Q,0),1),0)</f>
        <v/>
      </c>
      <c r="D52" s="192">
        <f>IFERROR(INDEX(기간별손익계산서!$C:$N,MATCH($O52,기간별손익계산서!$Q:$Q,0),2),0)</f>
        <v/>
      </c>
      <c r="E52" s="192">
        <f>IFERROR(INDEX(기간별손익계산서!$C:$N,MATCH($O52,기간별손익계산서!$Q:$Q,0),3),0)</f>
        <v/>
      </c>
      <c r="F52" s="192">
        <f>IFERROR(INDEX(기간별손익계산서!$C:$N,MATCH($O52,기간별손익계산서!$Q:$Q,0),4),0)</f>
        <v/>
      </c>
      <c r="G52" s="192">
        <f>IFERROR(INDEX(기간별손익계산서!$C:$N,MATCH($O52,기간별손익계산서!$Q:$Q,0),5),0)</f>
        <v/>
      </c>
      <c r="H52" s="192">
        <f>IFERROR(INDEX(기간별손익계산서!$C:$N,MATCH($O52,기간별손익계산서!$Q:$Q,0),6),0)</f>
        <v/>
      </c>
      <c r="I52" s="192">
        <f>IFERROR(INDEX(기간별손익계산서!$C:$N,MATCH($O52,기간별손익계산서!$Q:$Q,0),MONTH(EOMONTH(인덱스!$K$1,-1))),0)</f>
        <v/>
      </c>
      <c r="J52" s="192">
        <f>IFERROR(INDEX(기간별손익계산서!$C:$N,MATCH($O52,기간별손익계산서!$Q:$Q,0),MONTH(인덱스!$K$1)),0)</f>
        <v/>
      </c>
      <c r="K52" s="192">
        <f>J52-I52</f>
        <v/>
      </c>
      <c r="L52" s="106">
        <f>IF(J52-I52&gt;0,"증가",IF(J52-I52=0,"변동없음","감소"))</f>
        <v/>
      </c>
      <c r="M52" s="107" t="n"/>
      <c r="N52">
        <f>SUBSTITUTE(A52," ","")</f>
        <v/>
      </c>
      <c r="O52">
        <f>N52&amp;"|"&amp;COUNTIF($N$7:N52,N52)</f>
        <v/>
      </c>
      <c r="P52" s="93">
        <f>IF($A52="","",IF(ISNUMBER(MATCH($O52,기간별손익계산서!$Q:$Q,0)),"✓ 일치","⚠ 확인필요"))</f>
        <v/>
      </c>
      <c r="Q52" s="193">
        <f>IFERROR(IF(I52=0,"",(J52-I52)/ABS(I52)),"")</f>
        <v/>
      </c>
    </row>
    <row r="53" ht="22.5" customHeight="1" s="127">
      <c r="A53" s="74" t="inlineStr">
        <is>
          <t>Ⅸ  . 법  인  세  비  용</t>
        </is>
      </c>
      <c r="B53" s="192">
        <f>IFERROR(INDEX(기간별손익계산서!$B:$B,MATCH($O53,기간별손익계산서!$Q:$Q,0)),0)</f>
        <v/>
      </c>
      <c r="C53" s="192">
        <f>IFERROR(INDEX(기간별손익계산서!$C:$N,MATCH($O53,기간별손익계산서!$Q:$Q,0),1),0)</f>
        <v/>
      </c>
      <c r="D53" s="192">
        <f>IFERROR(INDEX(기간별손익계산서!$C:$N,MATCH($O53,기간별손익계산서!$Q:$Q,0),2),0)</f>
        <v/>
      </c>
      <c r="E53" s="192">
        <f>IFERROR(INDEX(기간별손익계산서!$C:$N,MATCH($O53,기간별손익계산서!$Q:$Q,0),3),0)</f>
        <v/>
      </c>
      <c r="F53" s="192">
        <f>IFERROR(INDEX(기간별손익계산서!$C:$N,MATCH($O53,기간별손익계산서!$Q:$Q,0),4),0)</f>
        <v/>
      </c>
      <c r="G53" s="192">
        <f>IFERROR(INDEX(기간별손익계산서!$C:$N,MATCH($O53,기간별손익계산서!$Q:$Q,0),5),0)</f>
        <v/>
      </c>
      <c r="H53" s="192">
        <f>IFERROR(INDEX(기간별손익계산서!$C:$N,MATCH($O53,기간별손익계산서!$Q:$Q,0),6),0)</f>
        <v/>
      </c>
      <c r="I53" s="192">
        <f>IFERROR(INDEX(기간별손익계산서!$C:$N,MATCH($O53,기간별손익계산서!$Q:$Q,0),MONTH(EOMONTH(인덱스!$K$1,-1))),0)</f>
        <v/>
      </c>
      <c r="J53" s="192">
        <f>IFERROR(INDEX(기간별손익계산서!$C:$N,MATCH($O53,기간별손익계산서!$Q:$Q,0),MONTH(인덱스!$K$1)),0)</f>
        <v/>
      </c>
      <c r="K53" s="192">
        <f>J53-I53</f>
        <v/>
      </c>
      <c r="L53" s="106">
        <f>IF(J53-I53&gt;0,"증가",IF(J53-I53=0,"변동없음","감소"))</f>
        <v/>
      </c>
      <c r="M53" s="107" t="n"/>
      <c r="N53">
        <f>SUBSTITUTE(A53," ","")</f>
        <v/>
      </c>
      <c r="O53">
        <f>N53&amp;"|"&amp;COUNTIF($N$7:N53,N53)</f>
        <v/>
      </c>
      <c r="P53" s="93">
        <f>IF($A53="","",IF(ISNUMBER(MATCH($O53,기간별손익계산서!$Q:$Q,0)),"✓ 일치","⚠ 확인필요"))</f>
        <v/>
      </c>
      <c r="Q53" s="193">
        <f>IFERROR(IF(I53=0,"",(J53-I53)/ABS(I53)),"")</f>
        <v/>
      </c>
    </row>
    <row r="54" ht="24" customHeight="1" s="127">
      <c r="A54" s="67" t="inlineStr">
        <is>
          <t xml:space="preserve">      법   인   세    등</t>
        </is>
      </c>
      <c r="B54" s="199">
        <f>IFERROR(INDEX(기간별손익계산서!$B:$B,MATCH($O54,기간별손익계산서!$Q:$Q,0)),0)</f>
        <v/>
      </c>
      <c r="C54" s="199">
        <f>IFERROR(INDEX(기간별손익계산서!$C:$N,MATCH($O54,기간별손익계산서!$Q:$Q,0),1),0)</f>
        <v/>
      </c>
      <c r="D54" s="199">
        <f>IFERROR(INDEX(기간별손익계산서!$C:$N,MATCH($O54,기간별손익계산서!$Q:$Q,0),2),0)</f>
        <v/>
      </c>
      <c r="E54" s="199">
        <f>IFERROR(INDEX(기간별손익계산서!$C:$N,MATCH($O54,기간별손익계산서!$Q:$Q,0),3),0)</f>
        <v/>
      </c>
      <c r="F54" s="199">
        <f>IFERROR(INDEX(기간별손익계산서!$C:$N,MATCH($O54,기간별손익계산서!$Q:$Q,0),4),0)</f>
        <v/>
      </c>
      <c r="G54" s="199">
        <f>IFERROR(INDEX(기간별손익계산서!$C:$N,MATCH($O54,기간별손익계산서!$Q:$Q,0),5),0)</f>
        <v/>
      </c>
      <c r="H54" s="199">
        <f>IFERROR(INDEX(기간별손익계산서!$C:$N,MATCH($O54,기간별손익계산서!$Q:$Q,0),6),0)</f>
        <v/>
      </c>
      <c r="I54" s="194">
        <f>IFERROR(INDEX(기간별손익계산서!$C:$N,MATCH($O54,기간별손익계산서!$Q:$Q,0),MONTH(EOMONTH(인덱스!$K$1,-1))),0)</f>
        <v/>
      </c>
      <c r="J54" s="194">
        <f>IFERROR(INDEX(기간별손익계산서!$C:$N,MATCH($O54,기간별손익계산서!$Q:$Q,0),MONTH(인덱스!$K$1)),0)</f>
        <v/>
      </c>
      <c r="K54" s="194">
        <f>J54-I54</f>
        <v/>
      </c>
      <c r="L54" s="113">
        <f>IF(J54-I54&gt;0,"증가",IF(J54-I54=0,"변동없음","감소"))</f>
        <v/>
      </c>
      <c r="M54" s="110" t="n"/>
      <c r="N54">
        <f>SUBSTITUTE(A54," ","")</f>
        <v/>
      </c>
      <c r="O54">
        <f>N54&amp;"|"&amp;COUNTIF($N$7:N54,N54)</f>
        <v/>
      </c>
      <c r="P54" s="93">
        <f>IF($A54="","",IF(ISNUMBER(MATCH($O54,기간별손익계산서!$Q:$Q,0)),"✓ 일치","⚠ 확인필요"))</f>
        <v/>
      </c>
      <c r="Q54" s="193">
        <f>IFERROR(IF(I54=0,"",(J54-I54)/ABS(I54)),"")</f>
        <v/>
      </c>
    </row>
    <row r="55" ht="11.25" customHeight="1" s="127">
      <c r="A55" s="74" t="inlineStr">
        <is>
          <t>Ⅹ  . 당  기  순  이  익</t>
        </is>
      </c>
      <c r="B55" s="192">
        <f>IFERROR(INDEX(기간별손익계산서!$B:$B,MATCH($O55,기간별손익계산서!$Q:$Q,0)),0)</f>
        <v/>
      </c>
      <c r="C55" s="192">
        <f>IFERROR(INDEX(기간별손익계산서!$C:$N,MATCH($O55,기간별손익계산서!$Q:$Q,0),1),0)</f>
        <v/>
      </c>
      <c r="D55" s="192">
        <f>IFERROR(INDEX(기간별손익계산서!$C:$N,MATCH($O55,기간별손익계산서!$Q:$Q,0),2),0)</f>
        <v/>
      </c>
      <c r="E55" s="192">
        <f>IFERROR(INDEX(기간별손익계산서!$C:$N,MATCH($O55,기간별손익계산서!$Q:$Q,0),3),0)</f>
        <v/>
      </c>
      <c r="F55" s="192">
        <f>IFERROR(INDEX(기간별손익계산서!$C:$N,MATCH($O55,기간별손익계산서!$Q:$Q,0),4),0)</f>
        <v/>
      </c>
      <c r="G55" s="192">
        <f>IFERROR(INDEX(기간별손익계산서!$C:$N,MATCH($O55,기간별손익계산서!$Q:$Q,0),5),0)</f>
        <v/>
      </c>
      <c r="H55" s="192">
        <f>IFERROR(INDEX(기간별손익계산서!$C:$N,MATCH($O55,기간별손익계산서!$Q:$Q,0),6),0)</f>
        <v/>
      </c>
      <c r="I55" s="192">
        <f>IFERROR(INDEX(기간별손익계산서!$C:$N,MATCH($O55,기간별손익계산서!$Q:$Q,0),MONTH(EOMONTH(인덱스!$K$1,-1))),0)</f>
        <v/>
      </c>
      <c r="J55" s="192">
        <f>IFERROR(INDEX(기간별손익계산서!$C:$N,MATCH($O55,기간별손익계산서!$Q:$Q,0),MONTH(인덱스!$K$1)),0)</f>
        <v/>
      </c>
      <c r="K55" s="192">
        <f>J55-I55</f>
        <v/>
      </c>
      <c r="L55" s="106">
        <f>IF(J55-I55&gt;0,"증가",IF(J55-I55=0,"변동없음","감소"))</f>
        <v/>
      </c>
      <c r="M55" s="107" t="n"/>
      <c r="N55">
        <f>SUBSTITUTE(A55," ","")</f>
        <v/>
      </c>
      <c r="O55">
        <f>N55&amp;"|"&amp;COUNTIF($N$7:N55,N55)</f>
        <v/>
      </c>
      <c r="P55" s="93">
        <f>IF($A55="","",IF(ISNUMBER(MATCH($O55,기간별손익계산서!$Q:$Q,0)),"✓ 일치","⚠ 확인필요"))</f>
        <v/>
      </c>
      <c r="Q55" s="193">
        <f>IFERROR(IF(I55=0,"",(J55-I55)/ABS(I55)),"")</f>
        <v/>
      </c>
    </row>
    <row r="56">
      <c r="J56" s="201" t="n"/>
    </row>
  </sheetData>
  <mergeCells count="2">
    <mergeCell ref="A3:M3"/>
    <mergeCell ref="A1:M1"/>
  </mergeCells>
  <conditionalFormatting sqref="P7:P54">
    <cfRule type="expression" priority="2" dxfId="4">
      <formula>$P7="✓ 일치"</formula>
    </cfRule>
    <cfRule type="expression" priority="3" dxfId="3">
      <formula>$P7="⚠ 확인필요"</formula>
    </cfRule>
  </conditionalFormatting>
  <conditionalFormatting sqref="Q7:Q54">
    <cfRule type="expression" priority="4" dxfId="2">
      <formula>Q7&gt;0</formula>
    </cfRule>
    <cfRule type="expression" priority="5" dxfId="1">
      <formula>Q7&lt;0</formula>
    </cfRule>
    <cfRule type="expression" priority="6" dxfId="0">
      <formula>ABS(Q7)&gt;0.2</formula>
    </cfRule>
  </conditionalFormatting>
  <printOptions horizontalCentered="1"/>
  <pageMargins left="0.511805555555556" right="0.511805555555556" top="0.590277777777778" bottom="0.354861111111111" header="0.511811023622047" footer="0.315277777777778"/>
  <pageSetup orientation="portrait" paperSize="9" scale="61" verticalDpi="300"/>
  <headerFooter>
    <oddHeader/>
    <oddFooter>&amp;C&amp;P/1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zoomScaleNormal="100" workbookViewId="0">
      <selection activeCell="A3" sqref="A3"/>
    </sheetView>
  </sheetViews>
  <sheetFormatPr baseColWidth="8" defaultColWidth="15.33203125" defaultRowHeight="11.25"/>
  <cols>
    <col width="33.33203125" customWidth="1" style="127" min="1" max="1"/>
    <col width="23.33203125" customWidth="1" style="127" min="2" max="5"/>
    <col hidden="1" width="13" customWidth="1" style="127" min="6" max="7"/>
    <col width="33.33203125" customWidth="1" style="127" min="257" max="257"/>
    <col width="23.33203125" customWidth="1" style="127" min="258" max="261"/>
    <col width="33.33203125" customWidth="1" style="127" min="513" max="513"/>
    <col width="23.33203125" customWidth="1" style="127" min="514" max="517"/>
    <col width="33.33203125" customWidth="1" style="127" min="769" max="769"/>
    <col width="23.33203125" customWidth="1" style="127" min="770" max="773"/>
    <col width="33.33203125" customWidth="1" style="127" min="1025" max="1025"/>
    <col width="23.33203125" customWidth="1" style="127" min="1026" max="1029"/>
    <col width="33.33203125" customWidth="1" style="127" min="1281" max="1281"/>
    <col width="23.33203125" customWidth="1" style="127" min="1282" max="1285"/>
    <col width="33.33203125" customWidth="1" style="127" min="1537" max="1537"/>
    <col width="23.33203125" customWidth="1" style="127" min="1538" max="1541"/>
    <col width="33.33203125" customWidth="1" style="127" min="1793" max="1793"/>
    <col width="23.33203125" customWidth="1" style="127" min="1794" max="1797"/>
    <col width="33.33203125" customWidth="1" style="127" min="2049" max="2049"/>
    <col width="23.33203125" customWidth="1" style="127" min="2050" max="2053"/>
    <col width="33.33203125" customWidth="1" style="127" min="2305" max="2305"/>
    <col width="23.33203125" customWidth="1" style="127" min="2306" max="2309"/>
    <col width="33.33203125" customWidth="1" style="127" min="2561" max="2561"/>
    <col width="23.33203125" customWidth="1" style="127" min="2562" max="2565"/>
    <col width="33.33203125" customWidth="1" style="127" min="2817" max="2817"/>
    <col width="23.33203125" customWidth="1" style="127" min="2818" max="2821"/>
    <col width="33.33203125" customWidth="1" style="127" min="3073" max="3073"/>
    <col width="23.33203125" customWidth="1" style="127" min="3074" max="3077"/>
    <col width="33.33203125" customWidth="1" style="127" min="3329" max="3329"/>
    <col width="23.33203125" customWidth="1" style="127" min="3330" max="3333"/>
    <col width="33.33203125" customWidth="1" style="127" min="3585" max="3585"/>
    <col width="23.33203125" customWidth="1" style="127" min="3586" max="3589"/>
    <col width="33.33203125" customWidth="1" style="127" min="3841" max="3841"/>
    <col width="23.33203125" customWidth="1" style="127" min="3842" max="3845"/>
    <col width="33.33203125" customWidth="1" style="127" min="4097" max="4097"/>
    <col width="23.33203125" customWidth="1" style="127" min="4098" max="4101"/>
    <col width="33.33203125" customWidth="1" style="127" min="4353" max="4353"/>
    <col width="23.33203125" customWidth="1" style="127" min="4354" max="4357"/>
    <col width="33.33203125" customWidth="1" style="127" min="4609" max="4609"/>
    <col width="23.33203125" customWidth="1" style="127" min="4610" max="4613"/>
    <col width="33.33203125" customWidth="1" style="127" min="4865" max="4865"/>
    <col width="23.33203125" customWidth="1" style="127" min="4866" max="4869"/>
    <col width="33.33203125" customWidth="1" style="127" min="5121" max="5121"/>
    <col width="23.33203125" customWidth="1" style="127" min="5122" max="5125"/>
    <col width="33.33203125" customWidth="1" style="127" min="5377" max="5377"/>
    <col width="23.33203125" customWidth="1" style="127" min="5378" max="5381"/>
    <col width="33.33203125" customWidth="1" style="127" min="5633" max="5633"/>
    <col width="23.33203125" customWidth="1" style="127" min="5634" max="5637"/>
    <col width="33.33203125" customWidth="1" style="127" min="5889" max="5889"/>
    <col width="23.33203125" customWidth="1" style="127" min="5890" max="5893"/>
    <col width="33.33203125" customWidth="1" style="127" min="6145" max="6145"/>
    <col width="23.33203125" customWidth="1" style="127" min="6146" max="6149"/>
    <col width="33.33203125" customWidth="1" style="127" min="6401" max="6401"/>
    <col width="23.33203125" customWidth="1" style="127" min="6402" max="6405"/>
    <col width="33.33203125" customWidth="1" style="127" min="6657" max="6657"/>
    <col width="23.33203125" customWidth="1" style="127" min="6658" max="6661"/>
    <col width="33.33203125" customWidth="1" style="127" min="6913" max="6913"/>
    <col width="23.33203125" customWidth="1" style="127" min="6914" max="6917"/>
    <col width="33.33203125" customWidth="1" style="127" min="7169" max="7169"/>
    <col width="23.33203125" customWidth="1" style="127" min="7170" max="7173"/>
    <col width="33.33203125" customWidth="1" style="127" min="7425" max="7425"/>
    <col width="23.33203125" customWidth="1" style="127" min="7426" max="7429"/>
    <col width="33.33203125" customWidth="1" style="127" min="7681" max="7681"/>
    <col width="23.33203125" customWidth="1" style="127" min="7682" max="7685"/>
    <col width="33.33203125" customWidth="1" style="127" min="7937" max="7937"/>
    <col width="23.33203125" customWidth="1" style="127" min="7938" max="7941"/>
    <col width="33.33203125" customWidth="1" style="127" min="8193" max="8193"/>
    <col width="23.33203125" customWidth="1" style="127" min="8194" max="8197"/>
    <col width="33.33203125" customWidth="1" style="127" min="8449" max="8449"/>
    <col width="23.33203125" customWidth="1" style="127" min="8450" max="8453"/>
    <col width="33.33203125" customWidth="1" style="127" min="8705" max="8705"/>
    <col width="23.33203125" customWidth="1" style="127" min="8706" max="8709"/>
    <col width="33.33203125" customWidth="1" style="127" min="8961" max="8961"/>
    <col width="23.33203125" customWidth="1" style="127" min="8962" max="8965"/>
    <col width="33.33203125" customWidth="1" style="127" min="9217" max="9217"/>
    <col width="23.33203125" customWidth="1" style="127" min="9218" max="9221"/>
    <col width="33.33203125" customWidth="1" style="127" min="9473" max="9473"/>
    <col width="23.33203125" customWidth="1" style="127" min="9474" max="9477"/>
    <col width="33.33203125" customWidth="1" style="127" min="9729" max="9729"/>
    <col width="23.33203125" customWidth="1" style="127" min="9730" max="9733"/>
    <col width="33.33203125" customWidth="1" style="127" min="9985" max="9985"/>
    <col width="23.33203125" customWidth="1" style="127" min="9986" max="9989"/>
    <col width="33.33203125" customWidth="1" style="127" min="10241" max="10241"/>
    <col width="23.33203125" customWidth="1" style="127" min="10242" max="10245"/>
    <col width="33.33203125" customWidth="1" style="127" min="10497" max="10497"/>
    <col width="23.33203125" customWidth="1" style="127" min="10498" max="10501"/>
    <col width="33.33203125" customWidth="1" style="127" min="10753" max="10753"/>
    <col width="23.33203125" customWidth="1" style="127" min="10754" max="10757"/>
    <col width="33.33203125" customWidth="1" style="127" min="11009" max="11009"/>
    <col width="23.33203125" customWidth="1" style="127" min="11010" max="11013"/>
    <col width="33.33203125" customWidth="1" style="127" min="11265" max="11265"/>
    <col width="23.33203125" customWidth="1" style="127" min="11266" max="11269"/>
    <col width="33.33203125" customWidth="1" style="127" min="11521" max="11521"/>
    <col width="23.33203125" customWidth="1" style="127" min="11522" max="11525"/>
    <col width="33.33203125" customWidth="1" style="127" min="11777" max="11777"/>
    <col width="23.33203125" customWidth="1" style="127" min="11778" max="11781"/>
    <col width="33.33203125" customWidth="1" style="127" min="12033" max="12033"/>
    <col width="23.33203125" customWidth="1" style="127" min="12034" max="12037"/>
    <col width="33.33203125" customWidth="1" style="127" min="12289" max="12289"/>
    <col width="23.33203125" customWidth="1" style="127" min="12290" max="12293"/>
    <col width="33.33203125" customWidth="1" style="127" min="12545" max="12545"/>
    <col width="23.33203125" customWidth="1" style="127" min="12546" max="12549"/>
    <col width="33.33203125" customWidth="1" style="127" min="12801" max="12801"/>
    <col width="23.33203125" customWidth="1" style="127" min="12802" max="12805"/>
    <col width="33.33203125" customWidth="1" style="127" min="13057" max="13057"/>
    <col width="23.33203125" customWidth="1" style="127" min="13058" max="13061"/>
    <col width="33.33203125" customWidth="1" style="127" min="13313" max="13313"/>
    <col width="23.33203125" customWidth="1" style="127" min="13314" max="13317"/>
    <col width="33.33203125" customWidth="1" style="127" min="13569" max="13569"/>
    <col width="23.33203125" customWidth="1" style="127" min="13570" max="13573"/>
    <col width="33.33203125" customWidth="1" style="127" min="13825" max="13825"/>
    <col width="23.33203125" customWidth="1" style="127" min="13826" max="13829"/>
    <col width="33.33203125" customWidth="1" style="127" min="14081" max="14081"/>
    <col width="23.33203125" customWidth="1" style="127" min="14082" max="14085"/>
    <col width="33.33203125" customWidth="1" style="127" min="14337" max="14337"/>
    <col width="23.33203125" customWidth="1" style="127" min="14338" max="14341"/>
    <col width="33.33203125" customWidth="1" style="127" min="14593" max="14593"/>
    <col width="23.33203125" customWidth="1" style="127" min="14594" max="14597"/>
    <col width="33.33203125" customWidth="1" style="127" min="14849" max="14849"/>
    <col width="23.33203125" customWidth="1" style="127" min="14850" max="14853"/>
    <col width="33.33203125" customWidth="1" style="127" min="15105" max="15105"/>
    <col width="23.33203125" customWidth="1" style="127" min="15106" max="15109"/>
    <col width="33.33203125" customWidth="1" style="127" min="15361" max="15361"/>
    <col width="23.33203125" customWidth="1" style="127" min="15362" max="15365"/>
    <col width="33.33203125" customWidth="1" style="127" min="15617" max="15617"/>
    <col width="23.33203125" customWidth="1" style="127" min="15618" max="15621"/>
    <col width="33.33203125" customWidth="1" style="127" min="15873" max="15873"/>
    <col width="23.33203125" customWidth="1" style="127" min="15874" max="15877"/>
    <col width="33.33203125" customWidth="1" style="127" min="16129" max="16129"/>
    <col width="23.33203125" customWidth="1" style="127" min="16130" max="16133"/>
  </cols>
  <sheetData>
    <row r="1" ht="18.75" customHeight="1" s="127">
      <c r="A1" s="157" t="inlineStr">
        <is>
          <t>과  목</t>
        </is>
      </c>
      <c r="B1" s="159" t="inlineStr">
        <is>
          <t>제 35 (당)기</t>
        </is>
      </c>
      <c r="C1" s="160" t="n"/>
      <c r="D1" s="159" t="inlineStr">
        <is>
          <t>제 34 (전)기</t>
        </is>
      </c>
      <c r="E1" s="160" t="n"/>
    </row>
    <row r="2" ht="18.75" customHeight="1" s="127">
      <c r="A2" s="161" t="n"/>
      <c r="B2" s="157" t="inlineStr">
        <is>
          <t>금    액</t>
        </is>
      </c>
      <c r="C2" s="158" t="n"/>
      <c r="D2" s="157" t="inlineStr">
        <is>
          <t>금   액</t>
        </is>
      </c>
      <c r="E2" s="158" t="n"/>
    </row>
    <row r="3" ht="12" customHeight="1" s="127">
      <c r="A3" s="119" t="inlineStr">
        <is>
          <t xml:space="preserve"> 자             산 </t>
        </is>
      </c>
      <c r="B3" s="120" t="n"/>
      <c r="C3" s="120" t="n"/>
      <c r="D3" s="120" t="n"/>
      <c r="E3" s="120" t="n"/>
      <c r="F3">
        <f>IF(A3="","",SUBSTITUTE(A3," ",""))</f>
        <v/>
      </c>
      <c r="G3">
        <f>IF(A3="","",F3&amp;"|"&amp;COUNTIF($F$3:F3,F3))</f>
        <v/>
      </c>
    </row>
    <row r="4" ht="12" customHeight="1" s="127">
      <c r="A4" s="121" t="inlineStr">
        <is>
          <t xml:space="preserve"> Ⅰ. 유  동    자  산  </t>
        </is>
      </c>
      <c r="B4" s="120" t="n"/>
      <c r="C4" s="120" t="inlineStr">
        <is>
          <t>16,824,297,117</t>
        </is>
      </c>
      <c r="D4" s="120" t="n"/>
      <c r="E4" s="120" t="inlineStr">
        <is>
          <t>16,586,842,935</t>
        </is>
      </c>
      <c r="F4">
        <f>IF(A4="","",SUBSTITUTE(A4," ",""))</f>
        <v/>
      </c>
      <c r="G4">
        <f>IF(A4="","",F4&amp;"|"&amp;COUNTIF($F$3:F4,F4))</f>
        <v/>
      </c>
    </row>
    <row r="5" ht="12" customHeight="1" s="127">
      <c r="A5" s="121" t="inlineStr">
        <is>
          <t xml:space="preserve"> (1) 당  좌    자  산 </t>
        </is>
      </c>
      <c r="B5" s="120" t="n"/>
      <c r="C5" s="120" t="inlineStr">
        <is>
          <t>13,960,681,681</t>
        </is>
      </c>
      <c r="D5" s="120" t="n"/>
      <c r="E5" s="120" t="inlineStr">
        <is>
          <t>14,460,731,833</t>
        </is>
      </c>
      <c r="F5">
        <f>IF(A5="","",SUBSTITUTE(A5," ",""))</f>
        <v/>
      </c>
      <c r="G5">
        <f>IF(A5="","",F5&amp;"|"&amp;COUNTIF($F$3:F5,F5))</f>
        <v/>
      </c>
    </row>
    <row r="6" ht="12" customHeight="1" s="127">
      <c r="A6" s="119" t="inlineStr">
        <is>
          <t xml:space="preserve">      현              금</t>
        </is>
      </c>
      <c r="B6" s="120" t="n"/>
      <c r="C6" s="120" t="inlineStr">
        <is>
          <t>3,244,781</t>
        </is>
      </c>
      <c r="D6" s="120" t="n"/>
      <c r="E6" s="120" t="inlineStr">
        <is>
          <t>6,782,551</t>
        </is>
      </c>
      <c r="F6">
        <f>IF(A6="","",SUBSTITUTE(A6," ",""))</f>
        <v/>
      </c>
      <c r="G6">
        <f>IF(A6="","",F6&amp;"|"&amp;COUNTIF($F$3:F6,F6))</f>
        <v/>
      </c>
    </row>
    <row r="7" ht="12" customHeight="1" s="127">
      <c r="A7" s="119" t="inlineStr">
        <is>
          <t xml:space="preserve">      보   통    예   금</t>
        </is>
      </c>
      <c r="B7" s="120" t="n"/>
      <c r="C7" s="120" t="inlineStr">
        <is>
          <t>1,660,518,435</t>
        </is>
      </c>
      <c r="D7" s="120" t="n"/>
      <c r="E7" s="120" t="inlineStr">
        <is>
          <t>3,125,443,636</t>
        </is>
      </c>
      <c r="F7">
        <f>IF(A7="","",SUBSTITUTE(A7," ",""))</f>
        <v/>
      </c>
      <c r="G7">
        <f>IF(A7="","",F7&amp;"|"&amp;COUNTIF($F$3:F7,F7))</f>
        <v/>
      </c>
    </row>
    <row r="8" ht="12" customHeight="1" s="127">
      <c r="A8" s="119" t="inlineStr">
        <is>
          <t xml:space="preserve">      단  기 금 융 상 품</t>
        </is>
      </c>
      <c r="B8" s="120" t="n"/>
      <c r="C8" s="120" t="inlineStr">
        <is>
          <t>6,800,000,000</t>
        </is>
      </c>
      <c r="D8" s="120" t="n"/>
      <c r="E8" s="120" t="inlineStr">
        <is>
          <t>7,100,000,000</t>
        </is>
      </c>
      <c r="F8">
        <f>IF(A8="","",SUBSTITUTE(A8," ",""))</f>
        <v/>
      </c>
      <c r="G8">
        <f>IF(A8="","",F8&amp;"|"&amp;COUNTIF($F$3:F8,F8))</f>
        <v/>
      </c>
    </row>
    <row r="9" ht="12" customHeight="1" s="127">
      <c r="A9" s="119" t="inlineStr">
        <is>
          <t xml:space="preserve">      외 화 보 통  예 금</t>
        </is>
      </c>
      <c r="B9" s="120" t="n"/>
      <c r="C9" s="120" t="inlineStr">
        <is>
          <t>588,242,162</t>
        </is>
      </c>
      <c r="D9" s="120" t="n"/>
      <c r="E9" s="120" t="inlineStr">
        <is>
          <t>715,753,523</t>
        </is>
      </c>
      <c r="F9">
        <f>IF(A9="","",SUBSTITUTE(A9," ",""))</f>
        <v/>
      </c>
      <c r="G9">
        <f>IF(A9="","",F9&amp;"|"&amp;COUNTIF($F$3:F9,F9))</f>
        <v/>
      </c>
    </row>
    <row r="10" ht="12" customHeight="1" s="127">
      <c r="A10" s="119" t="inlineStr">
        <is>
          <t xml:space="preserve">      외  상  매  출  금</t>
        </is>
      </c>
      <c r="B10" s="120" t="inlineStr">
        <is>
          <t>3,642,484,006</t>
        </is>
      </c>
      <c r="C10" s="120" t="n"/>
      <c r="D10" s="120" t="inlineStr">
        <is>
          <t>3,196,105,509</t>
        </is>
      </c>
      <c r="E10" s="120" t="n"/>
      <c r="F10">
        <f>IF(A10="","",SUBSTITUTE(A10," ",""))</f>
        <v/>
      </c>
      <c r="G10">
        <f>IF(A10="","",F10&amp;"|"&amp;COUNTIF($F$3:F10,F10))</f>
        <v/>
      </c>
    </row>
    <row r="11" ht="12" customHeight="1" s="127">
      <c r="A11" s="119" t="inlineStr">
        <is>
          <t xml:space="preserve">      대  손  충  당  금</t>
        </is>
      </c>
      <c r="B11" s="120" t="inlineStr">
        <is>
          <t>156,987,179</t>
        </is>
      </c>
      <c r="C11" s="120" t="inlineStr">
        <is>
          <t>3,485,496,827</t>
        </is>
      </c>
      <c r="D11" s="120" t="inlineStr">
        <is>
          <t>156,987,179</t>
        </is>
      </c>
      <c r="E11" s="120" t="inlineStr">
        <is>
          <t>3,039,118,330</t>
        </is>
      </c>
      <c r="F11">
        <f>IF(A11="","",SUBSTITUTE(A11," ",""))</f>
        <v/>
      </c>
      <c r="G11">
        <f>IF(A11="","",F11&amp;"|"&amp;COUNTIF($F$3:F11,F11))</f>
        <v/>
      </c>
    </row>
    <row r="12" ht="12" customHeight="1" s="127">
      <c r="A12" s="119" t="inlineStr">
        <is>
          <t xml:space="preserve">      받   을    어   음</t>
        </is>
      </c>
      <c r="B12" s="120" t="inlineStr">
        <is>
          <t>55,512,824</t>
        </is>
      </c>
      <c r="C12" s="120" t="n"/>
      <c r="D12" s="120" t="inlineStr">
        <is>
          <t>17,134,890</t>
        </is>
      </c>
      <c r="E12" s="120" t="n"/>
      <c r="F12">
        <f>IF(A12="","",SUBSTITUTE(A12," ",""))</f>
        <v/>
      </c>
      <c r="G12">
        <f>IF(A12="","",F12&amp;"|"&amp;COUNTIF($F$3:F12,F12))</f>
        <v/>
      </c>
    </row>
    <row r="13" ht="12" customHeight="1" s="127">
      <c r="A13" s="119" t="inlineStr">
        <is>
          <t xml:space="preserve">      대  손  충  당  금</t>
        </is>
      </c>
      <c r="B13" s="120" t="inlineStr">
        <is>
          <t>171,300</t>
        </is>
      </c>
      <c r="C13" s="120" t="inlineStr">
        <is>
          <t>55,341,524</t>
        </is>
      </c>
      <c r="D13" s="120" t="inlineStr">
        <is>
          <t>171,300</t>
        </is>
      </c>
      <c r="E13" s="120" t="inlineStr">
        <is>
          <t>16,963,590</t>
        </is>
      </c>
      <c r="F13">
        <f>IF(A13="","",SUBSTITUTE(A13," ",""))</f>
        <v/>
      </c>
      <c r="G13">
        <f>IF(A13="","",F13&amp;"|"&amp;COUNTIF($F$3:F13,F13))</f>
        <v/>
      </c>
    </row>
    <row r="14" ht="12" customHeight="1" s="127">
      <c r="A14" s="122" t="inlineStr">
        <is>
          <t xml:space="preserve">      미   수    수   익</t>
        </is>
      </c>
      <c r="B14" s="120" t="n"/>
      <c r="C14" s="120" t="inlineStr">
        <is>
          <t>15,136,465</t>
        </is>
      </c>
      <c r="D14" s="120" t="n"/>
      <c r="E14" s="120" t="inlineStr">
        <is>
          <t>15,136,465</t>
        </is>
      </c>
      <c r="F14">
        <f>IF(A14="","",SUBSTITUTE(A14," ",""))</f>
        <v/>
      </c>
      <c r="G14">
        <f>IF(A14="","",F14&amp;"|"&amp;COUNTIF($F$3:F14,F14))</f>
        <v/>
      </c>
    </row>
    <row r="15" ht="12" customHeight="1" s="127">
      <c r="A15" s="119" t="inlineStr">
        <is>
          <t xml:space="preserve">      미      수      금</t>
        </is>
      </c>
      <c r="B15" s="120" t="n"/>
      <c r="C15" s="120" t="inlineStr">
        <is>
          <t>253,437,222</t>
        </is>
      </c>
      <c r="D15" s="120" t="n"/>
      <c r="E15" s="120" t="inlineStr">
        <is>
          <t>398,047,074</t>
        </is>
      </c>
      <c r="F15">
        <f>IF(A15="","",SUBSTITUTE(A15," ",""))</f>
        <v/>
      </c>
      <c r="G15">
        <f>IF(A15="","",F15&amp;"|"&amp;COUNTIF($F$3:F15,F15))</f>
        <v/>
      </c>
    </row>
    <row r="16" ht="12" customHeight="1" s="127">
      <c r="A16" s="119" t="inlineStr">
        <is>
          <t xml:space="preserve">      선      급      금</t>
        </is>
      </c>
      <c r="B16" s="120" t="n"/>
      <c r="C16" s="120" t="inlineStr">
        <is>
          <t>1,000,000</t>
        </is>
      </c>
      <c r="D16" s="120" t="n"/>
      <c r="E16" s="120" t="inlineStr">
        <is>
          <t>1,240,000</t>
        </is>
      </c>
      <c r="F16">
        <f>IF(A16="","",SUBSTITUTE(A16," ",""))</f>
        <v/>
      </c>
      <c r="G16">
        <f>IF(A16="","",F16&amp;"|"&amp;COUNTIF($F$3:F16,F16))</f>
        <v/>
      </c>
    </row>
    <row r="17" ht="12" customHeight="1" s="127">
      <c r="A17" s="119" t="inlineStr">
        <is>
          <t xml:space="preserve">      선   급    비   용</t>
        </is>
      </c>
      <c r="B17" s="120" t="n"/>
      <c r="C17" s="120" t="inlineStr">
        <is>
          <t>4,048,315</t>
        </is>
      </c>
      <c r="D17" s="120" t="n"/>
      <c r="E17" s="120" t="inlineStr">
        <is>
          <t>9,711,144</t>
        </is>
      </c>
      <c r="F17">
        <f>IF(A17="","",SUBSTITUTE(A17," ",""))</f>
        <v/>
      </c>
      <c r="G17">
        <f>IF(A17="","",F17&amp;"|"&amp;COUNTIF($F$3:F17,F17))</f>
        <v/>
      </c>
    </row>
    <row r="18" ht="12" customHeight="1" s="127">
      <c r="A18" s="119" t="inlineStr">
        <is>
          <t xml:space="preserve">      가   지    급   금</t>
        </is>
      </c>
      <c r="B18" s="120" t="n"/>
      <c r="C18" s="120" t="inlineStr">
        <is>
          <t>900,032,000</t>
        </is>
      </c>
      <c r="D18" s="120" t="n"/>
      <c r="E18" s="120" t="n"/>
      <c r="F18">
        <f>IF(A18="","",SUBSTITUTE(A18," ",""))</f>
        <v/>
      </c>
      <c r="G18">
        <f>IF(A18="","",F18&amp;"|"&amp;COUNTIF($F$3:F18,F18))</f>
        <v/>
      </c>
    </row>
    <row r="19" ht="12" customHeight="1" s="127">
      <c r="A19" s="119" t="inlineStr">
        <is>
          <t xml:space="preserve">      부 가 세  대 급 금</t>
        </is>
      </c>
      <c r="B19" s="120" t="n"/>
      <c r="C19" s="120" t="inlineStr">
        <is>
          <t>176,643,510</t>
        </is>
      </c>
      <c r="D19" s="120" t="n"/>
      <c r="E19" s="120" t="n"/>
      <c r="F19">
        <f>IF(A19="","",SUBSTITUTE(A19," ",""))</f>
        <v/>
      </c>
      <c r="G19">
        <f>IF(A19="","",F19&amp;"|"&amp;COUNTIF($F$3:F19,F19))</f>
        <v/>
      </c>
    </row>
    <row r="20" ht="12" customHeight="1" s="127">
      <c r="A20" s="121" t="inlineStr">
        <is>
          <t xml:space="preserve">      선   납    세   금</t>
        </is>
      </c>
      <c r="B20" s="120" t="n"/>
      <c r="C20" s="120" t="inlineStr">
        <is>
          <t>17,540,440</t>
        </is>
      </c>
      <c r="D20" s="120" t="n"/>
      <c r="E20" s="120" t="inlineStr">
        <is>
          <t>32,535,520</t>
        </is>
      </c>
      <c r="F20">
        <f>IF(A20="","",SUBSTITUTE(A20," ",""))</f>
        <v/>
      </c>
      <c r="G20">
        <f>IF(A20="","",F20&amp;"|"&amp;COUNTIF($F$3:F20,F20))</f>
        <v/>
      </c>
    </row>
    <row r="21" ht="12" customHeight="1" s="127">
      <c r="A21" s="119" t="inlineStr">
        <is>
          <t xml:space="preserve"> (2) 재  고    자  산 </t>
        </is>
      </c>
      <c r="B21" s="120" t="n"/>
      <c r="C21" s="120" t="inlineStr">
        <is>
          <t>2,863,615,436</t>
        </is>
      </c>
      <c r="D21" s="120" t="n"/>
      <c r="E21" s="120" t="inlineStr">
        <is>
          <t>2,126,111,102</t>
        </is>
      </c>
      <c r="F21">
        <f>IF(A21="","",SUBSTITUTE(A21," ",""))</f>
        <v/>
      </c>
      <c r="G21">
        <f>IF(A21="","",F21&amp;"|"&amp;COUNTIF($F$3:F21,F21))</f>
        <v/>
      </c>
    </row>
    <row r="22" ht="12" customHeight="1" s="127">
      <c r="A22" s="121" t="inlineStr">
        <is>
          <t xml:space="preserve">      상              품</t>
        </is>
      </c>
      <c r="B22" s="120" t="n"/>
      <c r="C22" s="120" t="inlineStr">
        <is>
          <t>2,863,615,436</t>
        </is>
      </c>
      <c r="D22" s="120" t="n"/>
      <c r="E22" s="120" t="inlineStr">
        <is>
          <t>2,126,111,102</t>
        </is>
      </c>
      <c r="F22">
        <f>IF(A22="","",SUBSTITUTE(A22," ",""))</f>
        <v/>
      </c>
      <c r="G22">
        <f>IF(A22="","",F22&amp;"|"&amp;COUNTIF($F$3:F22,F22))</f>
        <v/>
      </c>
    </row>
    <row r="23" ht="12" customHeight="1" s="127">
      <c r="A23" s="119" t="inlineStr">
        <is>
          <t xml:space="preserve"> Ⅱ. 비  유  동  자  산  </t>
        </is>
      </c>
      <c r="B23" s="120" t="n"/>
      <c r="C23" s="120" t="inlineStr">
        <is>
          <t>4,059,473,199</t>
        </is>
      </c>
      <c r="D23" s="120" t="n"/>
      <c r="E23" s="120" t="inlineStr">
        <is>
          <t>4,055,552,394</t>
        </is>
      </c>
      <c r="F23">
        <f>IF(A23="","",SUBSTITUTE(A23," ",""))</f>
        <v/>
      </c>
      <c r="G23">
        <f>IF(A23="","",F23&amp;"|"&amp;COUNTIF($F$3:F23,F23))</f>
        <v/>
      </c>
    </row>
    <row r="24" ht="12" customHeight="1" s="127">
      <c r="A24" s="122" t="inlineStr">
        <is>
          <t xml:space="preserve"> (1) 투  자    자  산  </t>
        </is>
      </c>
      <c r="B24" s="120" t="n"/>
      <c r="C24" s="120" t="inlineStr">
        <is>
          <t>28,125,000</t>
        </is>
      </c>
      <c r="D24" s="120" t="n"/>
      <c r="E24" s="120" t="inlineStr">
        <is>
          <t>28,125,000</t>
        </is>
      </c>
      <c r="F24">
        <f>IF(A24="","",SUBSTITUTE(A24," ",""))</f>
        <v/>
      </c>
      <c r="G24">
        <f>IF(A24="","",F24&amp;"|"&amp;COUNTIF($F$3:F24,F24))</f>
        <v/>
      </c>
    </row>
    <row r="25" ht="12" customHeight="1" s="127">
      <c r="A25" s="121" t="inlineStr">
        <is>
          <t xml:space="preserve">      매 도 가  능 증 권</t>
        </is>
      </c>
      <c r="B25" s="120" t="n"/>
      <c r="C25" s="120" t="inlineStr">
        <is>
          <t>28,125,000</t>
        </is>
      </c>
      <c r="D25" s="120" t="n"/>
      <c r="E25" s="120" t="inlineStr">
        <is>
          <t>28,125,000</t>
        </is>
      </c>
      <c r="F25">
        <f>IF(A25="","",SUBSTITUTE(A25," ",""))</f>
        <v/>
      </c>
      <c r="G25">
        <f>IF(A25="","",F25&amp;"|"&amp;COUNTIF($F$3:F25,F25))</f>
        <v/>
      </c>
    </row>
    <row r="26" ht="12" customHeight="1" s="127">
      <c r="A26" s="119" t="inlineStr">
        <is>
          <t xml:space="preserve"> (2) 유  형    자  산  </t>
        </is>
      </c>
      <c r="B26" s="120" t="n"/>
      <c r="C26" s="120" t="inlineStr">
        <is>
          <t>3,362,652,339</t>
        </is>
      </c>
      <c r="D26" s="120" t="n"/>
      <c r="E26" s="120" t="inlineStr">
        <is>
          <t>3,358,731,534</t>
        </is>
      </c>
      <c r="F26">
        <f>IF(A26="","",SUBSTITUTE(A26," ",""))</f>
        <v/>
      </c>
      <c r="G26">
        <f>IF(A26="","",F26&amp;"|"&amp;COUNTIF($F$3:F26,F26))</f>
        <v/>
      </c>
    </row>
    <row r="27" ht="12" customHeight="1" s="127">
      <c r="A27" s="122" t="inlineStr">
        <is>
          <t xml:space="preserve">      토              지</t>
        </is>
      </c>
      <c r="B27" s="120" t="n"/>
      <c r="C27" s="120" t="inlineStr">
        <is>
          <t>2,542,043,170</t>
        </is>
      </c>
      <c r="D27" s="120" t="n"/>
      <c r="E27" s="120" t="inlineStr">
        <is>
          <t>2,542,043,170</t>
        </is>
      </c>
      <c r="F27">
        <f>IF(A27="","",SUBSTITUTE(A27," ",""))</f>
        <v/>
      </c>
      <c r="G27">
        <f>IF(A27="","",F27&amp;"|"&amp;COUNTIF($F$3:F27,F27))</f>
        <v/>
      </c>
    </row>
    <row r="28" ht="12" customHeight="1" s="127">
      <c r="A28" s="119" t="inlineStr">
        <is>
          <t xml:space="preserve">      건              물</t>
        </is>
      </c>
      <c r="B28" s="120" t="inlineStr">
        <is>
          <t>877,003,320</t>
        </is>
      </c>
      <c r="C28" s="120" t="n"/>
      <c r="D28" s="120" t="inlineStr">
        <is>
          <t>877,003,320</t>
        </is>
      </c>
      <c r="E28" s="120" t="n"/>
      <c r="F28">
        <f>IF(A28="","",SUBSTITUTE(A28," ",""))</f>
        <v/>
      </c>
      <c r="G28">
        <f>IF(A28="","",F28&amp;"|"&amp;COUNTIF($F$3:F28,F28))</f>
        <v/>
      </c>
    </row>
    <row r="29" ht="12" customHeight="1" s="127">
      <c r="A29" s="119" t="inlineStr">
        <is>
          <t xml:space="preserve">      감가 상각 누 계 액</t>
        </is>
      </c>
      <c r="B29" s="120" t="inlineStr">
        <is>
          <t>255,647,445</t>
        </is>
      </c>
      <c r="C29" s="120" t="inlineStr">
        <is>
          <t>621,355,875</t>
        </is>
      </c>
      <c r="D29" s="120" t="inlineStr">
        <is>
          <t>242,857,808</t>
        </is>
      </c>
      <c r="E29" s="120" t="inlineStr">
        <is>
          <t>634,145,512</t>
        </is>
      </c>
      <c r="F29">
        <f>IF(A29="","",SUBSTITUTE(A29," ",""))</f>
        <v/>
      </c>
      <c r="G29">
        <f>IF(A29="","",F29&amp;"|"&amp;COUNTIF($F$3:F29,F29))</f>
        <v/>
      </c>
    </row>
    <row r="30" ht="12" customHeight="1" s="127">
      <c r="A30" s="119" t="inlineStr">
        <is>
          <t xml:space="preserve">      기   계    장   치</t>
        </is>
      </c>
      <c r="B30" s="120" t="inlineStr">
        <is>
          <t>47,784,000</t>
        </is>
      </c>
      <c r="C30" s="120" t="n"/>
      <c r="D30" s="120" t="inlineStr">
        <is>
          <t>47,784,000</t>
        </is>
      </c>
      <c r="E30" s="120" t="n"/>
      <c r="F30">
        <f>IF(A30="","",SUBSTITUTE(A30," ",""))</f>
        <v/>
      </c>
      <c r="G30">
        <f>IF(A30="","",F30&amp;"|"&amp;COUNTIF($F$3:F30,F30))</f>
        <v/>
      </c>
    </row>
    <row r="31" ht="12" customHeight="1" s="127">
      <c r="A31" s="119" t="inlineStr">
        <is>
          <t xml:space="preserve">      감가 상각 누 계 액</t>
        </is>
      </c>
      <c r="B31" s="120" t="inlineStr">
        <is>
          <t>47,775,000</t>
        </is>
      </c>
      <c r="C31" s="120" t="inlineStr">
        <is>
          <t>9,000</t>
        </is>
      </c>
      <c r="D31" s="120" t="inlineStr">
        <is>
          <t>47,775,000</t>
        </is>
      </c>
      <c r="E31" s="120" t="inlineStr">
        <is>
          <t>9,000</t>
        </is>
      </c>
      <c r="F31">
        <f>IF(A31="","",SUBSTITUTE(A31," ",""))</f>
        <v/>
      </c>
      <c r="G31">
        <f>IF(A31="","",F31&amp;"|"&amp;COUNTIF($F$3:F31,F31))</f>
        <v/>
      </c>
    </row>
    <row r="32" ht="12" customHeight="1" s="127">
      <c r="A32" s="119" t="inlineStr">
        <is>
          <t xml:space="preserve">      차  량  운  반  구</t>
        </is>
      </c>
      <c r="B32" s="120" t="inlineStr">
        <is>
          <t>921,090,734</t>
        </is>
      </c>
      <c r="C32" s="120" t="n"/>
      <c r="D32" s="120" t="inlineStr">
        <is>
          <t>899,846,520</t>
        </is>
      </c>
      <c r="E32" s="120" t="n"/>
      <c r="F32">
        <f>IF(A32="","",SUBSTITUTE(A32," ",""))</f>
        <v/>
      </c>
      <c r="G32">
        <f>IF(A32="","",F32&amp;"|"&amp;COUNTIF($F$3:F32,F32))</f>
        <v/>
      </c>
    </row>
    <row r="33" ht="12" customHeight="1" s="127">
      <c r="A33" s="119" t="inlineStr">
        <is>
          <t xml:space="preserve">      감가 상각 누 계 액</t>
        </is>
      </c>
      <c r="B33" s="120" t="inlineStr">
        <is>
          <t>726,391,724</t>
        </is>
      </c>
      <c r="C33" s="120" t="inlineStr">
        <is>
          <t>194,699,010</t>
        </is>
      </c>
      <c r="D33" s="120" t="inlineStr">
        <is>
          <t>723,464,949</t>
        </is>
      </c>
      <c r="E33" s="120" t="inlineStr">
        <is>
          <t>176,381,571</t>
        </is>
      </c>
      <c r="F33">
        <f>IF(A33="","",SUBSTITUTE(A33," ",""))</f>
        <v/>
      </c>
      <c r="G33">
        <f>IF(A33="","",F33&amp;"|"&amp;COUNTIF($F$3:F33,F33))</f>
        <v/>
      </c>
    </row>
    <row r="34" ht="12" customHeight="1" s="127">
      <c r="A34" s="119" t="inlineStr">
        <is>
          <t xml:space="preserve">      비              품</t>
        </is>
      </c>
      <c r="B34" s="120" t="inlineStr">
        <is>
          <t>223,445,463</t>
        </is>
      </c>
      <c r="C34" s="120" t="n"/>
      <c r="D34" s="120" t="inlineStr">
        <is>
          <t>223,445,463</t>
        </is>
      </c>
      <c r="E34" s="120" t="n"/>
      <c r="F34">
        <f>IF(A34="","",SUBSTITUTE(A34," ",""))</f>
        <v/>
      </c>
      <c r="G34">
        <f>IF(A34="","",F34&amp;"|"&amp;COUNTIF($F$3:F34,F34))</f>
        <v/>
      </c>
    </row>
    <row r="35" ht="12" customHeight="1" s="127">
      <c r="A35" s="119" t="inlineStr">
        <is>
          <t xml:space="preserve">      감가 상각 누 계 액</t>
        </is>
      </c>
      <c r="B35" s="120" t="inlineStr">
        <is>
          <t>218,900,179</t>
        </is>
      </c>
      <c r="C35" s="120" t="inlineStr">
        <is>
          <t>4,545,284</t>
        </is>
      </c>
      <c r="D35" s="120" t="inlineStr">
        <is>
          <t>217,293,182</t>
        </is>
      </c>
      <c r="E35" s="120" t="inlineStr">
        <is>
          <t>6,152,281</t>
        </is>
      </c>
      <c r="F35">
        <f>IF(A35="","",SUBSTITUTE(A35," ",""))</f>
        <v/>
      </c>
      <c r="G35">
        <f>IF(A35="","",F35&amp;"|"&amp;COUNTIF($F$3:F35,F35))</f>
        <v/>
      </c>
    </row>
    <row r="36" ht="12" customHeight="1" s="127">
      <c r="A36" s="119" t="inlineStr">
        <is>
          <t xml:space="preserve"> (3) 무  형    자  산 </t>
        </is>
      </c>
      <c r="B36" s="120" t="n"/>
      <c r="C36" s="120" t="n"/>
      <c r="D36" s="120" t="n"/>
      <c r="E36" s="120" t="n"/>
      <c r="F36">
        <f>IF(A36="","",SUBSTITUTE(A36," ",""))</f>
        <v/>
      </c>
      <c r="G36">
        <f>IF(A36="","",F36&amp;"|"&amp;COUNTIF($F$3:F36,F36))</f>
        <v/>
      </c>
    </row>
    <row r="37" ht="12" customHeight="1" s="127">
      <c r="A37" s="122" t="inlineStr">
        <is>
          <t xml:space="preserve"> (4) 기타  비유동자산  </t>
        </is>
      </c>
      <c r="B37" s="120" t="n"/>
      <c r="C37" s="120" t="inlineStr">
        <is>
          <t>668,695,860</t>
        </is>
      </c>
      <c r="D37" s="120" t="n"/>
      <c r="E37" s="120" t="inlineStr">
        <is>
          <t>668,695,860</t>
        </is>
      </c>
      <c r="F37">
        <f>IF(A37="","",SUBSTITUTE(A37," ",""))</f>
        <v/>
      </c>
      <c r="G37">
        <f>IF(A37="","",F37&amp;"|"&amp;COUNTIF($F$3:F37,F37))</f>
        <v/>
      </c>
    </row>
    <row r="38" ht="12" customHeight="1" s="127">
      <c r="A38" s="122" t="inlineStr">
        <is>
          <t xml:space="preserve">      임  차  보  증  금</t>
        </is>
      </c>
      <c r="B38" s="120" t="n"/>
      <c r="C38" s="120" t="inlineStr">
        <is>
          <t>140,000,000</t>
        </is>
      </c>
      <c r="D38" s="120" t="n"/>
      <c r="E38" s="120" t="inlineStr">
        <is>
          <t>140,000,000</t>
        </is>
      </c>
      <c r="F38">
        <f>IF(A38="","",SUBSTITUTE(A38," ",""))</f>
        <v/>
      </c>
      <c r="G38">
        <f>IF(A38="","",F38&amp;"|"&amp;COUNTIF($F$3:F38,F38))</f>
        <v/>
      </c>
    </row>
    <row r="39" ht="12" customHeight="1" s="127">
      <c r="A39" s="122" t="inlineStr">
        <is>
          <t xml:space="preserve">      기  타  보  증  금</t>
        </is>
      </c>
      <c r="B39" s="120" t="n"/>
      <c r="C39" s="120" t="inlineStr">
        <is>
          <t>528,095,860</t>
        </is>
      </c>
      <c r="D39" s="120" t="n"/>
      <c r="E39" s="120" t="inlineStr">
        <is>
          <t>528,095,860</t>
        </is>
      </c>
      <c r="F39">
        <f>IF(A39="","",SUBSTITUTE(A39," ",""))</f>
        <v/>
      </c>
      <c r="G39">
        <f>IF(A39="","",F39&amp;"|"&amp;COUNTIF($F$3:F39,F39))</f>
        <v/>
      </c>
    </row>
    <row r="40" ht="12" customHeight="1" s="127">
      <c r="A40" s="122" t="inlineStr">
        <is>
          <t xml:space="preserve">      전신 전화 가 입 권</t>
        </is>
      </c>
      <c r="B40" s="120" t="n"/>
      <c r="C40" s="120" t="inlineStr">
        <is>
          <t>600,000</t>
        </is>
      </c>
      <c r="D40" s="120" t="n"/>
      <c r="E40" s="120" t="inlineStr">
        <is>
          <t>600,000</t>
        </is>
      </c>
      <c r="F40">
        <f>IF(A40="","",SUBSTITUTE(A40," ",""))</f>
        <v/>
      </c>
      <c r="G40">
        <f>IF(A40="","",F40&amp;"|"&amp;COUNTIF($F$3:F40,F40))</f>
        <v/>
      </c>
    </row>
    <row r="41" ht="12" customHeight="1" s="127">
      <c r="A41" s="119" t="inlineStr">
        <is>
          <t>자    산    총    계</t>
        </is>
      </c>
      <c r="B41" s="120" t="n"/>
      <c r="C41" s="120" t="inlineStr">
        <is>
          <t>20,883,770,316</t>
        </is>
      </c>
      <c r="D41" s="120" t="n"/>
      <c r="E41" s="120" t="inlineStr">
        <is>
          <t>20,642,395,329</t>
        </is>
      </c>
      <c r="F41">
        <f>IF(A41="","",SUBSTITUTE(A41," ",""))</f>
        <v/>
      </c>
      <c r="G41">
        <f>IF(A41="","",F41&amp;"|"&amp;COUNTIF($F$3:F41,F41))</f>
        <v/>
      </c>
    </row>
    <row r="42" ht="12" customHeight="1" s="127">
      <c r="A42" s="119" t="inlineStr">
        <is>
          <t xml:space="preserve"> 부             채 </t>
        </is>
      </c>
      <c r="B42" s="120" t="n"/>
      <c r="C42" s="120" t="n"/>
      <c r="D42" s="120" t="n"/>
      <c r="E42" s="120" t="n"/>
      <c r="F42">
        <f>IF(A42="","",SUBSTITUTE(A42," ",""))</f>
        <v/>
      </c>
      <c r="G42">
        <f>IF(A42="","",F42&amp;"|"&amp;COUNTIF($F$3:F42,F42))</f>
        <v/>
      </c>
    </row>
    <row r="43" ht="12" customHeight="1" s="127">
      <c r="A43" s="119" t="inlineStr">
        <is>
          <t xml:space="preserve"> Ⅰ. 유  동    부  채  </t>
        </is>
      </c>
      <c r="B43" s="120" t="n"/>
      <c r="C43" s="120" t="inlineStr">
        <is>
          <t>2,135,947,156</t>
        </is>
      </c>
      <c r="D43" s="120" t="n"/>
      <c r="E43" s="120" t="inlineStr">
        <is>
          <t>3,372,146,535</t>
        </is>
      </c>
      <c r="F43">
        <f>IF(A43="","",SUBSTITUTE(A43," ",""))</f>
        <v/>
      </c>
      <c r="G43">
        <f>IF(A43="","",F43&amp;"|"&amp;COUNTIF($F$3:F43,F43))</f>
        <v/>
      </c>
    </row>
    <row r="44" ht="12" customHeight="1" s="127">
      <c r="A44" s="119" t="inlineStr">
        <is>
          <t xml:space="preserve">      외  상  매  입  금</t>
        </is>
      </c>
      <c r="B44" s="120" t="n"/>
      <c r="C44" s="120" t="inlineStr">
        <is>
          <t>1,572,571,800</t>
        </is>
      </c>
      <c r="D44" s="120" t="n"/>
      <c r="E44" s="120" t="inlineStr">
        <is>
          <t>2,183,714,801</t>
        </is>
      </c>
      <c r="F44">
        <f>IF(A44="","",SUBSTITUTE(A44," ",""))</f>
        <v/>
      </c>
      <c r="G44">
        <f>IF(A44="","",F44&amp;"|"&amp;COUNTIF($F$3:F44,F44))</f>
        <v/>
      </c>
    </row>
    <row r="45" ht="12" customHeight="1" s="127">
      <c r="A45" s="119" t="inlineStr">
        <is>
          <t xml:space="preserve">      미   지    급   금</t>
        </is>
      </c>
      <c r="B45" s="120" t="n"/>
      <c r="C45" s="120" t="inlineStr">
        <is>
          <t>55,401,086</t>
        </is>
      </c>
      <c r="D45" s="120" t="n"/>
      <c r="E45" s="120" t="inlineStr">
        <is>
          <t>189,842,586</t>
        </is>
      </c>
      <c r="F45">
        <f>IF(A45="","",SUBSTITUTE(A45," ",""))</f>
        <v/>
      </c>
      <c r="G45">
        <f>IF(A45="","",F45&amp;"|"&amp;COUNTIF($F$3:F45,F45))</f>
        <v/>
      </c>
    </row>
    <row r="46" ht="12" customHeight="1" s="127">
      <c r="A46" s="122" t="inlineStr">
        <is>
          <t xml:space="preserve">      예      수      금</t>
        </is>
      </c>
      <c r="B46" s="120" t="n"/>
      <c r="C46" s="120" t="inlineStr">
        <is>
          <t>28,248,500</t>
        </is>
      </c>
      <c r="D46" s="120" t="n"/>
      <c r="E46" s="120" t="inlineStr">
        <is>
          <t>212,932,480</t>
        </is>
      </c>
      <c r="F46">
        <f>IF(A46="","",SUBSTITUTE(A46," ",""))</f>
        <v/>
      </c>
      <c r="G46">
        <f>IF(A46="","",F46&amp;"|"&amp;COUNTIF($F$3:F46,F46))</f>
        <v/>
      </c>
    </row>
    <row r="47" ht="12" customHeight="1" s="127">
      <c r="A47" s="119" t="inlineStr">
        <is>
          <t xml:space="preserve">      부 가 세 예  수 금</t>
        </is>
      </c>
      <c r="B47" s="120" t="n"/>
      <c r="C47" s="120" t="inlineStr">
        <is>
          <t>230,664,206</t>
        </is>
      </c>
      <c r="D47" s="120" t="n"/>
      <c r="E47" s="120" t="n"/>
      <c r="F47">
        <f>IF(A47="","",SUBSTITUTE(A47," ",""))</f>
        <v/>
      </c>
      <c r="G47">
        <f>IF(A47="","",F47&amp;"|"&amp;COUNTIF($F$3:F47,F47))</f>
        <v/>
      </c>
    </row>
    <row r="48" ht="12" customHeight="1" s="127">
      <c r="A48" s="119" t="inlineStr">
        <is>
          <t xml:space="preserve">      가      수      금</t>
        </is>
      </c>
      <c r="B48" s="120" t="n"/>
      <c r="C48" s="120" t="inlineStr">
        <is>
          <t>43,441,422</t>
        </is>
      </c>
      <c r="D48" s="120" t="n"/>
      <c r="E48" s="120" t="n"/>
      <c r="F48">
        <f>IF(A48="","",SUBSTITUTE(A48," ",""))</f>
        <v/>
      </c>
      <c r="G48">
        <f>IF(A48="","",F48&amp;"|"&amp;COUNTIF($F$3:F48,F48))</f>
        <v/>
      </c>
    </row>
    <row r="49" ht="12" customHeight="1" s="127">
      <c r="A49" s="119" t="inlineStr">
        <is>
          <t xml:space="preserve">      선      수      금</t>
        </is>
      </c>
      <c r="B49" s="120" t="n"/>
      <c r="C49" s="120" t="inlineStr">
        <is>
          <t>1,490,000</t>
        </is>
      </c>
      <c r="D49" s="120" t="n"/>
      <c r="E49" s="120" t="inlineStr">
        <is>
          <t>1,490,000</t>
        </is>
      </c>
      <c r="F49">
        <f>IF(A49="","",SUBSTITUTE(A49," ",""))</f>
        <v/>
      </c>
      <c r="G49">
        <f>IF(A49="","",F49&amp;"|"&amp;COUNTIF($F$3:F49,F49))</f>
        <v/>
      </c>
    </row>
    <row r="50" ht="12" customHeight="1" s="127">
      <c r="A50" s="121" t="inlineStr">
        <is>
          <t xml:space="preserve">      미  지  급  세  금</t>
        </is>
      </c>
      <c r="B50" s="120" t="n"/>
      <c r="C50" s="120" t="n"/>
      <c r="D50" s="120" t="n"/>
      <c r="E50" s="120" t="inlineStr">
        <is>
          <t>152,398,250</t>
        </is>
      </c>
      <c r="F50">
        <f>IF(A50="","",SUBSTITUTE(A50," ",""))</f>
        <v/>
      </c>
      <c r="G50">
        <f>IF(A50="","",F50&amp;"|"&amp;COUNTIF($F$3:F50,F50))</f>
        <v/>
      </c>
    </row>
    <row r="51" ht="12" customHeight="1" s="127">
      <c r="A51" s="119" t="inlineStr">
        <is>
          <t xml:space="preserve">      미  지  급  비  용</t>
        </is>
      </c>
      <c r="B51" s="120" t="n"/>
      <c r="C51" s="120" t="inlineStr">
        <is>
          <t>204,130,142</t>
        </is>
      </c>
      <c r="D51" s="120" t="n"/>
      <c r="E51" s="120" t="inlineStr">
        <is>
          <t>631,768,418</t>
        </is>
      </c>
      <c r="F51">
        <f>IF(A51="","",SUBSTITUTE(A51," ",""))</f>
        <v/>
      </c>
      <c r="G51">
        <f>IF(A51="","",F51&amp;"|"&amp;COUNTIF($F$3:F51,F51))</f>
        <v/>
      </c>
    </row>
    <row r="52" ht="12" customHeight="1" s="127">
      <c r="A52" s="119" t="inlineStr">
        <is>
          <t xml:space="preserve"> Ⅱ. 비  유  동  부  채  </t>
        </is>
      </c>
      <c r="B52" s="120" t="n"/>
      <c r="C52" s="120" t="inlineStr">
        <is>
          <t>-65,700</t>
        </is>
      </c>
      <c r="D52" s="120" t="n"/>
      <c r="E52" s="120" t="inlineStr">
        <is>
          <t>174,190,680</t>
        </is>
      </c>
      <c r="F52">
        <f>IF(A52="","",SUBSTITUTE(A52," ",""))</f>
        <v/>
      </c>
      <c r="G52">
        <f>IF(A52="","",F52&amp;"|"&amp;COUNTIF($F$3:F52,F52))</f>
        <v/>
      </c>
    </row>
    <row r="53" ht="12" customHeight="1" s="127">
      <c r="A53" s="119" t="inlineStr">
        <is>
          <t xml:space="preserve">      퇴직 급여 충 당 금</t>
        </is>
      </c>
      <c r="B53" s="120" t="n"/>
      <c r="C53" s="120" t="n"/>
      <c r="D53" s="120" t="n"/>
      <c r="E53" s="120" t="inlineStr">
        <is>
          <t>174,256,380</t>
        </is>
      </c>
      <c r="F53">
        <f>IF(A53="","",SUBSTITUTE(A53," ",""))</f>
        <v/>
      </c>
      <c r="G53">
        <f>IF(A53="","",F53&amp;"|"&amp;COUNTIF($F$3:F53,F53))</f>
        <v/>
      </c>
    </row>
    <row r="54" ht="12" customHeight="1" s="127">
      <c r="A54" s="119" t="inlineStr">
        <is>
          <t xml:space="preserve">      국민 연금 전 환 금</t>
        </is>
      </c>
      <c r="B54" s="120" t="n"/>
      <c r="C54" s="120" t="inlineStr">
        <is>
          <t>-65,700</t>
        </is>
      </c>
      <c r="D54" s="120" t="n"/>
      <c r="E54" s="120" t="inlineStr">
        <is>
          <t>-65,700</t>
        </is>
      </c>
      <c r="F54">
        <f>IF(A54="","",SUBSTITUTE(A54," ",""))</f>
        <v/>
      </c>
      <c r="G54">
        <f>IF(A54="","",F54&amp;"|"&amp;COUNTIF($F$3:F54,F54))</f>
        <v/>
      </c>
    </row>
    <row r="55" ht="12" customHeight="1" s="127">
      <c r="A55" s="121" t="inlineStr">
        <is>
          <t>부    채    총    계</t>
        </is>
      </c>
      <c r="B55" s="120" t="n"/>
      <c r="C55" s="120" t="inlineStr">
        <is>
          <t>2,135,881,456</t>
        </is>
      </c>
      <c r="D55" s="120" t="n"/>
      <c r="E55" s="120" t="inlineStr">
        <is>
          <t>3,546,337,215</t>
        </is>
      </c>
      <c r="F55">
        <f>IF(A55="","",SUBSTITUTE(A55," ",""))</f>
        <v/>
      </c>
      <c r="G55">
        <f>IF(A55="","",F55&amp;"|"&amp;COUNTIF($F$3:F55,F55))</f>
        <v/>
      </c>
    </row>
    <row r="56" ht="12" customHeight="1" s="127">
      <c r="A56" s="122" t="inlineStr">
        <is>
          <t xml:space="preserve"> 자             본 </t>
        </is>
      </c>
      <c r="B56" s="120" t="n"/>
      <c r="C56" s="120" t="n"/>
      <c r="D56" s="120" t="n"/>
      <c r="E56" s="120" t="n"/>
      <c r="F56">
        <f>IF(A56="","",SUBSTITUTE(A56," ",""))</f>
        <v/>
      </c>
      <c r="G56">
        <f>IF(A56="","",F56&amp;"|"&amp;COUNTIF($F$3:F56,F56))</f>
        <v/>
      </c>
    </row>
    <row r="57" ht="12" customHeight="1" s="127">
      <c r="A57" s="119" t="inlineStr">
        <is>
          <t xml:space="preserve"> Ⅰ. 자      본      금  </t>
        </is>
      </c>
      <c r="B57" s="120" t="n"/>
      <c r="C57" s="120" t="inlineStr">
        <is>
          <t>712,500,000</t>
        </is>
      </c>
      <c r="D57" s="120" t="n"/>
      <c r="E57" s="120" t="inlineStr">
        <is>
          <t>712,500,000</t>
        </is>
      </c>
      <c r="F57">
        <f>IF(A57="","",SUBSTITUTE(A57," ",""))</f>
        <v/>
      </c>
      <c r="G57">
        <f>IF(A57="","",F57&amp;"|"&amp;COUNTIF($F$3:F57,F57))</f>
        <v/>
      </c>
    </row>
    <row r="58" ht="12" customHeight="1" s="127">
      <c r="A58" s="119" t="inlineStr">
        <is>
          <t xml:space="preserve">      자     본       금</t>
        </is>
      </c>
      <c r="B58" s="120" t="n"/>
      <c r="C58" s="120" t="inlineStr">
        <is>
          <t>712,500,000</t>
        </is>
      </c>
      <c r="D58" s="120" t="n"/>
      <c r="E58" s="120" t="inlineStr">
        <is>
          <t>712,500,000</t>
        </is>
      </c>
      <c r="F58">
        <f>IF(A58="","",SUBSTITUTE(A58," ",""))</f>
        <v/>
      </c>
      <c r="G58">
        <f>IF(A58="","",F58&amp;"|"&amp;COUNTIF($F$3:F58,F58))</f>
        <v/>
      </c>
    </row>
    <row r="59" ht="12" customHeight="1" s="127">
      <c r="A59" s="119" t="inlineStr">
        <is>
          <t xml:space="preserve"> Ⅱ. 자  본  잉  여  금  </t>
        </is>
      </c>
      <c r="B59" s="120" t="n"/>
      <c r="C59" s="120" t="inlineStr">
        <is>
          <t>3,051,482,755</t>
        </is>
      </c>
      <c r="D59" s="120" t="n"/>
      <c r="E59" s="120" t="inlineStr">
        <is>
          <t>3,051,482,755</t>
        </is>
      </c>
      <c r="F59">
        <f>IF(A59="","",SUBSTITUTE(A59," ",""))</f>
        <v/>
      </c>
      <c r="G59">
        <f>IF(A59="","",F59&amp;"|"&amp;COUNTIF($F$3:F59,F59))</f>
        <v/>
      </c>
    </row>
    <row r="60" ht="12" customHeight="1" s="127">
      <c r="A60" s="119" t="inlineStr">
        <is>
          <t xml:space="preserve">      주식 발행 초 과 금</t>
        </is>
      </c>
      <c r="B60" s="120" t="n"/>
      <c r="C60" s="120" t="inlineStr">
        <is>
          <t>3,051,482,755</t>
        </is>
      </c>
      <c r="D60" s="120" t="n"/>
      <c r="E60" s="120" t="inlineStr">
        <is>
          <t>3,051,482,755</t>
        </is>
      </c>
      <c r="F60">
        <f>IF(A60="","",SUBSTITUTE(A60," ",""))</f>
        <v/>
      </c>
      <c r="G60">
        <f>IF(A60="","",F60&amp;"|"&amp;COUNTIF($F$3:F60,F60))</f>
        <v/>
      </c>
    </row>
    <row r="61" ht="12" customHeight="1" s="127">
      <c r="A61" s="121" t="inlineStr">
        <is>
          <t xml:space="preserve"> Ⅲ. 자   본    조   정  </t>
        </is>
      </c>
      <c r="B61" s="120" t="n"/>
      <c r="C61" s="120" t="n"/>
      <c r="D61" s="120" t="n"/>
      <c r="E61" s="120" t="n"/>
      <c r="F61">
        <f>IF(A61="","",SUBSTITUTE(A61," ",""))</f>
        <v/>
      </c>
      <c r="G61">
        <f>IF(A61="","",F61&amp;"|"&amp;COUNTIF($F$3:F61,F61))</f>
        <v/>
      </c>
    </row>
    <row r="62" ht="12" customHeight="1" s="127">
      <c r="A62" s="119" t="inlineStr">
        <is>
          <t xml:space="preserve"> Ⅳ. 기타포괄손익누계액  </t>
        </is>
      </c>
      <c r="B62" s="120" t="n"/>
      <c r="C62" s="120" t="n"/>
      <c r="D62" s="120" t="n"/>
      <c r="E62" s="120" t="n"/>
      <c r="F62">
        <f>IF(A62="","",SUBSTITUTE(A62," ",""))</f>
        <v/>
      </c>
      <c r="G62">
        <f>IF(A62="","",F62&amp;"|"&amp;COUNTIF($F$3:F62,F62))</f>
        <v/>
      </c>
    </row>
    <row r="63" ht="12" customHeight="1" s="127">
      <c r="A63" s="122" t="inlineStr">
        <is>
          <t xml:space="preserve"> Ⅴ. 이  익  잉  여  금  </t>
        </is>
      </c>
      <c r="B63" s="120" t="n"/>
      <c r="C63" s="120" t="inlineStr">
        <is>
          <t>14,983,906,105</t>
        </is>
      </c>
      <c r="D63" s="120" t="n"/>
      <c r="E63" s="120" t="inlineStr">
        <is>
          <t>13,332,075,359</t>
        </is>
      </c>
      <c r="F63">
        <f>IF(A63="","",SUBSTITUTE(A63," ",""))</f>
        <v/>
      </c>
      <c r="G63">
        <f>IF(A63="","",F63&amp;"|"&amp;COUNTIF($F$3:F63,F63))</f>
        <v/>
      </c>
    </row>
    <row r="64" ht="12" customHeight="1" s="127">
      <c r="A64" s="119" t="inlineStr">
        <is>
          <t xml:space="preserve">      이  익  준  비  금</t>
        </is>
      </c>
      <c r="B64" s="120" t="n"/>
      <c r="C64" s="120" t="inlineStr">
        <is>
          <t>66,000,000</t>
        </is>
      </c>
      <c r="D64" s="120" t="n"/>
      <c r="E64" s="120" t="inlineStr">
        <is>
          <t>46,000,000</t>
        </is>
      </c>
      <c r="F64">
        <f>IF(A64="","",SUBSTITUTE(A64," ",""))</f>
        <v/>
      </c>
      <c r="G64">
        <f>IF(A64="","",F64&amp;"|"&amp;COUNTIF($F$3:F64,F64))</f>
        <v/>
      </c>
    </row>
    <row r="65" ht="12" customHeight="1" s="127">
      <c r="A65" s="122" t="inlineStr">
        <is>
          <t xml:space="preserve">  미처분  이익  잉여금</t>
        </is>
      </c>
      <c r="B65" s="120" t="n"/>
      <c r="C65" s="120" t="inlineStr">
        <is>
          <t>14,917,906,105</t>
        </is>
      </c>
      <c r="D65" s="120" t="n"/>
      <c r="E65" s="120" t="inlineStr">
        <is>
          <t>13,286,075,359</t>
        </is>
      </c>
      <c r="F65">
        <f>IF(A65="","",SUBSTITUTE(A65," ",""))</f>
        <v/>
      </c>
      <c r="G65">
        <f>IF(A65="","",F65&amp;"|"&amp;COUNTIF($F$3:F65,F65))</f>
        <v/>
      </c>
    </row>
    <row r="66" ht="12" customHeight="1" s="127">
      <c r="A66" s="122" t="inlineStr">
        <is>
          <t xml:space="preserve">   ( 당 기 순 이 익 )</t>
        </is>
      </c>
      <c r="B66" s="120" t="n"/>
      <c r="C66" s="120" t="n"/>
      <c r="D66" s="120" t="n"/>
      <c r="E66" s="120" t="n"/>
      <c r="F66">
        <f>IF(A66="","",SUBSTITUTE(A66," ",""))</f>
        <v/>
      </c>
      <c r="G66">
        <f>IF(A66="","",F66&amp;"|"&amp;COUNTIF($F$3:F66,F66))</f>
        <v/>
      </c>
    </row>
    <row r="67" ht="12" customHeight="1" s="127">
      <c r="A67" s="122" t="inlineStr">
        <is>
          <t xml:space="preserve">   당기 :     1,851,830,746</t>
        </is>
      </c>
      <c r="B67" s="120" t="n"/>
      <c r="C67" s="120" t="n"/>
      <c r="D67" s="120" t="n"/>
      <c r="E67" s="120" t="n"/>
      <c r="F67">
        <f>IF(A67="","",SUBSTITUTE(A67," ",""))</f>
        <v/>
      </c>
      <c r="G67">
        <f>IF(A67="","",F67&amp;"|"&amp;COUNTIF($F$3:F67,F67))</f>
        <v/>
      </c>
    </row>
    <row r="68" ht="12" customHeight="1" s="127">
      <c r="A68" s="119" t="inlineStr">
        <is>
          <t xml:space="preserve">   전기 :     1,412,482,819</t>
        </is>
      </c>
      <c r="B68" s="120" t="n"/>
      <c r="C68" s="120" t="n"/>
      <c r="D68" s="120" t="n"/>
      <c r="E68" s="120" t="n"/>
      <c r="F68">
        <f>IF(A68="","",SUBSTITUTE(A68," ",""))</f>
        <v/>
      </c>
      <c r="G68">
        <f>IF(A68="","",F68&amp;"|"&amp;COUNTIF($F$3:F68,F68))</f>
        <v/>
      </c>
    </row>
    <row r="69" ht="12" customHeight="1" s="127">
      <c r="A69" s="119" t="inlineStr">
        <is>
          <t>자    본    총    계</t>
        </is>
      </c>
      <c r="B69" s="120" t="n"/>
      <c r="C69" s="120" t="inlineStr">
        <is>
          <t>18,747,888,860</t>
        </is>
      </c>
      <c r="D69" s="120" t="n"/>
      <c r="E69" s="120" t="inlineStr">
        <is>
          <t>17,096,058,114</t>
        </is>
      </c>
      <c r="F69">
        <f>IF(A69="","",SUBSTITUTE(A69," ",""))</f>
        <v/>
      </c>
      <c r="G69">
        <f>IF(A69="","",F69&amp;"|"&amp;COUNTIF($F$3:F69,F69))</f>
        <v/>
      </c>
    </row>
    <row r="70" ht="12" customHeight="1" s="127">
      <c r="A70" s="121" t="inlineStr">
        <is>
          <t>부 채 및 자 본 총 계</t>
        </is>
      </c>
      <c r="B70" s="120" t="n"/>
      <c r="C70" s="120" t="inlineStr">
        <is>
          <t>20,883,770,316</t>
        </is>
      </c>
      <c r="D70" s="120" t="n"/>
      <c r="E70" s="120" t="inlineStr">
        <is>
          <t>20,642,395,329</t>
        </is>
      </c>
      <c r="F70">
        <f>IF(A70="","",SUBSTITUTE(A70," ",""))</f>
        <v/>
      </c>
      <c r="G70">
        <f>IF(A70="","",F70&amp;"|"&amp;COUNTIF($F$3:F70,F70))</f>
        <v/>
      </c>
    </row>
    <row r="71" ht="12" customHeight="1" s="127">
      <c r="A71" s="119" t="n"/>
      <c r="B71" s="120" t="n"/>
      <c r="C71" s="120" t="n"/>
      <c r="D71" s="120" t="n"/>
      <c r="E71" s="120" t="n"/>
    </row>
    <row r="72" ht="12" customHeight="1" s="127">
      <c r="A72" s="119" t="n"/>
      <c r="B72" s="120" t="n"/>
      <c r="C72" s="120" t="n"/>
      <c r="D72" s="120" t="n"/>
      <c r="E72" s="120" t="n"/>
    </row>
    <row r="73" ht="12" customHeight="1" s="127">
      <c r="A73" s="119" t="n"/>
      <c r="B73" s="120" t="n"/>
      <c r="C73" s="120" t="n"/>
      <c r="D73" s="120" t="n"/>
      <c r="E73" s="120" t="n"/>
    </row>
    <row r="74" ht="12" customHeight="1" s="127">
      <c r="A74" s="119" t="n"/>
      <c r="B74" s="120" t="n"/>
      <c r="C74" s="120" t="n"/>
      <c r="D74" s="120" t="n"/>
      <c r="E74" s="120" t="n"/>
    </row>
    <row r="75" ht="11.25" customHeight="1" s="127"/>
    <row r="76" ht="11.25" customHeight="1" s="127"/>
    <row r="77" ht="11.25" customHeight="1" s="127"/>
    <row r="78" ht="11.25" customHeight="1" s="127"/>
    <row r="79" ht="11.25" customHeight="1" s="127"/>
    <row r="80" ht="11.25" customHeight="1" s="127"/>
    <row r="81" ht="11.25" customHeight="1" s="127"/>
    <row r="82" ht="11.25" customHeight="1" s="127"/>
    <row r="83" ht="11.25" customHeight="1" s="127"/>
    <row r="84" ht="11.25" customHeight="1" s="127"/>
    <row r="85" ht="11.25" customHeight="1" s="127"/>
    <row r="86" ht="11.25" customHeight="1" s="127"/>
    <row r="87" ht="11.25" customHeight="1" s="127"/>
    <row r="88" ht="11.25" customHeight="1" s="127"/>
    <row r="89" ht="11.25" customHeight="1" s="127"/>
    <row r="90" ht="11.25" customHeight="1" s="127"/>
    <row r="91" ht="11.25" customHeight="1" s="127"/>
    <row r="92" ht="11.25" customHeight="1" s="127"/>
    <row r="93" ht="11.25" customHeight="1" s="127"/>
    <row r="94" ht="11.25" customHeight="1" s="127"/>
    <row r="95" ht="11.25" customHeight="1" s="127"/>
    <row r="96" ht="11.25" customHeight="1" s="127"/>
    <row r="97" ht="11.25" customHeight="1" s="127"/>
    <row r="98" ht="11.25" customHeight="1" s="127"/>
    <row r="99" ht="11.25" customHeight="1" s="127"/>
    <row r="100" ht="11.25" customHeight="1" s="127"/>
  </sheetData>
  <mergeCells count="5">
    <mergeCell ref="B2:C2"/>
    <mergeCell ref="D2:E2"/>
    <mergeCell ref="D1:E1"/>
    <mergeCell ref="B1:C1"/>
    <mergeCell ref="A1:A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zoomScaleNormal="100" workbookViewId="0">
      <selection activeCell="C12" sqref="C12"/>
    </sheetView>
  </sheetViews>
  <sheetFormatPr baseColWidth="8" defaultColWidth="15.33203125" defaultRowHeight="11.25"/>
  <cols>
    <col width="30" customWidth="1" style="127" min="1" max="1"/>
    <col width="20" customWidth="1" style="127" min="2" max="7"/>
    <col width="15.6640625" customWidth="1" style="127" min="8" max="8"/>
    <col width="13" customWidth="1" style="127" min="9" max="9"/>
    <col hidden="1" width="13" customWidth="1" style="127" min="16" max="17"/>
    <col width="30" customWidth="1" style="127" min="257" max="257"/>
    <col width="20" customWidth="1" style="127" min="258" max="263"/>
    <col width="30" customWidth="1" style="127" min="513" max="513"/>
    <col width="20" customWidth="1" style="127" min="514" max="519"/>
    <col width="30" customWidth="1" style="127" min="769" max="769"/>
    <col width="20" customWidth="1" style="127" min="770" max="775"/>
    <col width="30" customWidth="1" style="127" min="1025" max="1025"/>
    <col width="20" customWidth="1" style="127" min="1026" max="1031"/>
    <col width="30" customWidth="1" style="127" min="1281" max="1281"/>
    <col width="20" customWidth="1" style="127" min="1282" max="1287"/>
    <col width="30" customWidth="1" style="127" min="1537" max="1537"/>
    <col width="20" customWidth="1" style="127" min="1538" max="1543"/>
    <col width="30" customWidth="1" style="127" min="1793" max="1793"/>
    <col width="20" customWidth="1" style="127" min="1794" max="1799"/>
    <col width="30" customWidth="1" style="127" min="2049" max="2049"/>
    <col width="20" customWidth="1" style="127" min="2050" max="2055"/>
    <col width="30" customWidth="1" style="127" min="2305" max="2305"/>
    <col width="20" customWidth="1" style="127" min="2306" max="2311"/>
    <col width="30" customWidth="1" style="127" min="2561" max="2561"/>
    <col width="20" customWidth="1" style="127" min="2562" max="2567"/>
    <col width="30" customWidth="1" style="127" min="2817" max="2817"/>
    <col width="20" customWidth="1" style="127" min="2818" max="2823"/>
    <col width="30" customWidth="1" style="127" min="3073" max="3073"/>
    <col width="20" customWidth="1" style="127" min="3074" max="3079"/>
    <col width="30" customWidth="1" style="127" min="3329" max="3329"/>
    <col width="20" customWidth="1" style="127" min="3330" max="3335"/>
    <col width="30" customWidth="1" style="127" min="3585" max="3585"/>
    <col width="20" customWidth="1" style="127" min="3586" max="3591"/>
    <col width="30" customWidth="1" style="127" min="3841" max="3841"/>
    <col width="20" customWidth="1" style="127" min="3842" max="3847"/>
    <col width="30" customWidth="1" style="127" min="4097" max="4097"/>
    <col width="20" customWidth="1" style="127" min="4098" max="4103"/>
    <col width="30" customWidth="1" style="127" min="4353" max="4353"/>
    <col width="20" customWidth="1" style="127" min="4354" max="4359"/>
    <col width="30" customWidth="1" style="127" min="4609" max="4609"/>
    <col width="20" customWidth="1" style="127" min="4610" max="4615"/>
    <col width="30" customWidth="1" style="127" min="4865" max="4865"/>
    <col width="20" customWidth="1" style="127" min="4866" max="4871"/>
    <col width="30" customWidth="1" style="127" min="5121" max="5121"/>
    <col width="20" customWidth="1" style="127" min="5122" max="5127"/>
    <col width="30" customWidth="1" style="127" min="5377" max="5377"/>
    <col width="20" customWidth="1" style="127" min="5378" max="5383"/>
    <col width="30" customWidth="1" style="127" min="5633" max="5633"/>
    <col width="20" customWidth="1" style="127" min="5634" max="5639"/>
    <col width="30" customWidth="1" style="127" min="5889" max="5889"/>
    <col width="20" customWidth="1" style="127" min="5890" max="5895"/>
    <col width="30" customWidth="1" style="127" min="6145" max="6145"/>
    <col width="20" customWidth="1" style="127" min="6146" max="6151"/>
    <col width="30" customWidth="1" style="127" min="6401" max="6401"/>
    <col width="20" customWidth="1" style="127" min="6402" max="6407"/>
    <col width="30" customWidth="1" style="127" min="6657" max="6657"/>
    <col width="20" customWidth="1" style="127" min="6658" max="6663"/>
    <col width="30" customWidth="1" style="127" min="6913" max="6913"/>
    <col width="20" customWidth="1" style="127" min="6914" max="6919"/>
    <col width="30" customWidth="1" style="127" min="7169" max="7169"/>
    <col width="20" customWidth="1" style="127" min="7170" max="7175"/>
    <col width="30" customWidth="1" style="127" min="7425" max="7425"/>
    <col width="20" customWidth="1" style="127" min="7426" max="7431"/>
    <col width="30" customWidth="1" style="127" min="7681" max="7681"/>
    <col width="20" customWidth="1" style="127" min="7682" max="7687"/>
    <col width="30" customWidth="1" style="127" min="7937" max="7937"/>
    <col width="20" customWidth="1" style="127" min="7938" max="7943"/>
    <col width="30" customWidth="1" style="127" min="8193" max="8193"/>
    <col width="20" customWidth="1" style="127" min="8194" max="8199"/>
    <col width="30" customWidth="1" style="127" min="8449" max="8449"/>
    <col width="20" customWidth="1" style="127" min="8450" max="8455"/>
    <col width="30" customWidth="1" style="127" min="8705" max="8705"/>
    <col width="20" customWidth="1" style="127" min="8706" max="8711"/>
    <col width="30" customWidth="1" style="127" min="8961" max="8961"/>
    <col width="20" customWidth="1" style="127" min="8962" max="8967"/>
    <col width="30" customWidth="1" style="127" min="9217" max="9217"/>
    <col width="20" customWidth="1" style="127" min="9218" max="9223"/>
    <col width="30" customWidth="1" style="127" min="9473" max="9473"/>
    <col width="20" customWidth="1" style="127" min="9474" max="9479"/>
    <col width="30" customWidth="1" style="127" min="9729" max="9729"/>
    <col width="20" customWidth="1" style="127" min="9730" max="9735"/>
    <col width="30" customWidth="1" style="127" min="9985" max="9985"/>
    <col width="20" customWidth="1" style="127" min="9986" max="9991"/>
    <col width="30" customWidth="1" style="127" min="10241" max="10241"/>
    <col width="20" customWidth="1" style="127" min="10242" max="10247"/>
    <col width="30" customWidth="1" style="127" min="10497" max="10497"/>
    <col width="20" customWidth="1" style="127" min="10498" max="10503"/>
    <col width="30" customWidth="1" style="127" min="10753" max="10753"/>
    <col width="20" customWidth="1" style="127" min="10754" max="10759"/>
    <col width="30" customWidth="1" style="127" min="11009" max="11009"/>
    <col width="20" customWidth="1" style="127" min="11010" max="11015"/>
    <col width="30" customWidth="1" style="127" min="11265" max="11265"/>
    <col width="20" customWidth="1" style="127" min="11266" max="11271"/>
    <col width="30" customWidth="1" style="127" min="11521" max="11521"/>
    <col width="20" customWidth="1" style="127" min="11522" max="11527"/>
    <col width="30" customWidth="1" style="127" min="11777" max="11777"/>
    <col width="20" customWidth="1" style="127" min="11778" max="11783"/>
    <col width="30" customWidth="1" style="127" min="12033" max="12033"/>
    <col width="20" customWidth="1" style="127" min="12034" max="12039"/>
    <col width="30" customWidth="1" style="127" min="12289" max="12289"/>
    <col width="20" customWidth="1" style="127" min="12290" max="12295"/>
    <col width="30" customWidth="1" style="127" min="12545" max="12545"/>
    <col width="20" customWidth="1" style="127" min="12546" max="12551"/>
    <col width="30" customWidth="1" style="127" min="12801" max="12801"/>
    <col width="20" customWidth="1" style="127" min="12802" max="12807"/>
    <col width="30" customWidth="1" style="127" min="13057" max="13057"/>
    <col width="20" customWidth="1" style="127" min="13058" max="13063"/>
    <col width="30" customWidth="1" style="127" min="13313" max="13313"/>
    <col width="20" customWidth="1" style="127" min="13314" max="13319"/>
    <col width="30" customWidth="1" style="127" min="13569" max="13569"/>
    <col width="20" customWidth="1" style="127" min="13570" max="13575"/>
    <col width="30" customWidth="1" style="127" min="13825" max="13825"/>
    <col width="20" customWidth="1" style="127" min="13826" max="13831"/>
    <col width="30" customWidth="1" style="127" min="14081" max="14081"/>
    <col width="20" customWidth="1" style="127" min="14082" max="14087"/>
    <col width="30" customWidth="1" style="127" min="14337" max="14337"/>
    <col width="20" customWidth="1" style="127" min="14338" max="14343"/>
    <col width="30" customWidth="1" style="127" min="14593" max="14593"/>
    <col width="20" customWidth="1" style="127" min="14594" max="14599"/>
    <col width="30" customWidth="1" style="127" min="14849" max="14849"/>
    <col width="20" customWidth="1" style="127" min="14850" max="14855"/>
    <col width="30" customWidth="1" style="127" min="15105" max="15105"/>
    <col width="20" customWidth="1" style="127" min="15106" max="15111"/>
    <col width="30" customWidth="1" style="127" min="15361" max="15361"/>
    <col width="20" customWidth="1" style="127" min="15362" max="15367"/>
    <col width="30" customWidth="1" style="127" min="15617" max="15617"/>
    <col width="20" customWidth="1" style="127" min="15618" max="15623"/>
    <col width="30" customWidth="1" style="127" min="15873" max="15873"/>
    <col width="20" customWidth="1" style="127" min="15874" max="15879"/>
    <col width="30" customWidth="1" style="127" min="16129" max="16129"/>
    <col width="20" customWidth="1" style="127" min="16130" max="16135"/>
  </cols>
  <sheetData>
    <row r="1" ht="18.75" customHeight="1" s="127">
      <c r="A1" s="159" t="inlineStr">
        <is>
          <t>과  목</t>
        </is>
      </c>
      <c r="B1" s="159" t="inlineStr">
        <is>
          <t>계</t>
        </is>
      </c>
      <c r="C1" s="123" t="inlineStr">
        <is>
          <t>1월</t>
        </is>
      </c>
      <c r="D1" s="123" t="inlineStr">
        <is>
          <t>2월</t>
        </is>
      </c>
      <c r="E1" s="123" t="inlineStr">
        <is>
          <t>3월</t>
        </is>
      </c>
      <c r="F1" s="123" t="inlineStr">
        <is>
          <t>4월</t>
        </is>
      </c>
      <c r="G1" s="123" t="inlineStr">
        <is>
          <t>5월</t>
        </is>
      </c>
      <c r="H1" s="123" t="inlineStr">
        <is>
          <t>6월</t>
        </is>
      </c>
      <c r="I1" s="123" t="inlineStr">
        <is>
          <t>7월</t>
        </is>
      </c>
      <c r="J1" s="123" t="inlineStr">
        <is>
          <t>8월</t>
        </is>
      </c>
      <c r="K1" s="123" t="inlineStr">
        <is>
          <t>9월</t>
        </is>
      </c>
      <c r="L1" s="123" t="inlineStr">
        <is>
          <t>10월</t>
        </is>
      </c>
      <c r="M1" s="123" t="inlineStr">
        <is>
          <t>11월</t>
        </is>
      </c>
      <c r="N1" s="123" t="inlineStr">
        <is>
          <t>12월</t>
        </is>
      </c>
    </row>
    <row r="2" ht="13.5" customHeight="1" s="127">
      <c r="A2" s="121" t="inlineStr">
        <is>
          <t>Ⅰ  . 매      출      액</t>
        </is>
      </c>
      <c r="B2" s="202" t="n">
        <v>21519965336</v>
      </c>
      <c r="C2" s="202" t="n">
        <v>2735381647</v>
      </c>
      <c r="D2" s="202" t="n">
        <v>2447781972</v>
      </c>
      <c r="E2" s="202" t="n">
        <v>4328182055</v>
      </c>
      <c r="F2" s="202" t="n">
        <v>4152427518</v>
      </c>
      <c r="G2" s="202" t="n">
        <v>2755697515</v>
      </c>
      <c r="H2" s="202" t="n">
        <v>2793851873</v>
      </c>
      <c r="I2" s="203" t="n">
        <v>2306642756</v>
      </c>
      <c r="J2" s="203" t="n"/>
      <c r="K2" s="203" t="n"/>
      <c r="L2" s="203" t="n"/>
      <c r="M2" s="203" t="n"/>
      <c r="N2" s="203" t="n"/>
      <c r="P2">
        <f>IF(A2="","",SUBSTITUTE(A2," ",""))</f>
        <v/>
      </c>
      <c r="Q2">
        <f>IF(A2="","",P2&amp;"|"&amp;COUNTIF($P$2:P2,P2))</f>
        <v/>
      </c>
    </row>
    <row r="3" ht="13.5" customHeight="1" s="127">
      <c r="A3" s="119" t="inlineStr">
        <is>
          <t xml:space="preserve">      상    품   매   출</t>
        </is>
      </c>
      <c r="B3" s="202" t="n">
        <v>21466362478</v>
      </c>
      <c r="C3" s="202" t="n">
        <v>2685863045</v>
      </c>
      <c r="D3" s="202" t="n">
        <v>2447781972</v>
      </c>
      <c r="E3" s="202" t="n">
        <v>4324942055</v>
      </c>
      <c r="F3" s="202" t="n">
        <v>4151583262</v>
      </c>
      <c r="G3" s="202" t="n">
        <v>2755697515</v>
      </c>
      <c r="H3" s="202" t="n">
        <v>2793851873</v>
      </c>
      <c r="I3" s="203" t="n">
        <v>2306642756</v>
      </c>
      <c r="J3" s="203" t="n"/>
      <c r="K3" s="203" t="n"/>
      <c r="L3" s="203" t="n"/>
      <c r="M3" s="203" t="n"/>
      <c r="N3" s="203" t="n"/>
      <c r="P3">
        <f>IF(A3="","",SUBSTITUTE(A3," ",""))</f>
        <v/>
      </c>
      <c r="Q3">
        <f>IF(A3="","",P3&amp;"|"&amp;COUNTIF($P$2:P3,P3))</f>
        <v/>
      </c>
    </row>
    <row r="4" ht="13.5" customHeight="1" s="127">
      <c r="A4" s="119" t="inlineStr">
        <is>
          <t xml:space="preserve">      상 품  수 출 매 출</t>
        </is>
      </c>
      <c r="B4" s="202" t="n">
        <v>53602858</v>
      </c>
      <c r="C4" s="202" t="n">
        <v>49518602</v>
      </c>
      <c r="D4" s="202" t="n">
        <v>0</v>
      </c>
      <c r="E4" s="202" t="n">
        <v>3240000</v>
      </c>
      <c r="F4" s="202" t="n">
        <v>844256</v>
      </c>
      <c r="G4" s="202" t="n">
        <v>0</v>
      </c>
      <c r="H4" s="202" t="n">
        <v>0</v>
      </c>
      <c r="I4" s="203" t="n">
        <v>0</v>
      </c>
      <c r="J4" s="203" t="n"/>
      <c r="K4" s="203" t="n"/>
      <c r="L4" s="203" t="n"/>
      <c r="M4" s="203" t="n"/>
      <c r="N4" s="203" t="n"/>
      <c r="P4">
        <f>IF(A4="","",SUBSTITUTE(A4," ",""))</f>
        <v/>
      </c>
      <c r="Q4">
        <f>IF(A4="","",P4&amp;"|"&amp;COUNTIF($P$2:P4,P4))</f>
        <v/>
      </c>
    </row>
    <row r="5" ht="13.5" customHeight="1" s="127">
      <c r="A5" s="121" t="inlineStr">
        <is>
          <t>Ⅱ  . 매    출   원   가</t>
        </is>
      </c>
      <c r="B5" s="202" t="n">
        <v>17650813148</v>
      </c>
      <c r="C5" s="202" t="n">
        <v>2239786263</v>
      </c>
      <c r="D5" s="202" t="n">
        <v>1986355221</v>
      </c>
      <c r="E5" s="202" t="n">
        <v>3593571301</v>
      </c>
      <c r="F5" s="202" t="n">
        <v>3504736843</v>
      </c>
      <c r="G5" s="202" t="n">
        <v>2214895735</v>
      </c>
      <c r="H5" s="202" t="n">
        <v>2262213603</v>
      </c>
      <c r="I5" s="203" t="n">
        <v>1849254182</v>
      </c>
      <c r="J5" s="203" t="n"/>
      <c r="K5" s="203" t="n"/>
      <c r="L5" s="203" t="n"/>
      <c r="M5" s="203" t="n"/>
      <c r="N5" s="203" t="n"/>
      <c r="P5">
        <f>IF(A5="","",SUBSTITUTE(A5," ",""))</f>
        <v/>
      </c>
      <c r="Q5">
        <f>IF(A5="","",P5&amp;"|"&amp;COUNTIF($P$2:P5,P5))</f>
        <v/>
      </c>
    </row>
    <row r="6" ht="13.5" customHeight="1" s="127">
      <c r="A6" s="119" t="inlineStr">
        <is>
          <t xml:space="preserve">      상 품 매 출  원 가</t>
        </is>
      </c>
      <c r="B6" s="202" t="n">
        <v>17650813148</v>
      </c>
      <c r="C6" s="202" t="n">
        <v>2239786263</v>
      </c>
      <c r="D6" s="202" t="n">
        <v>1986355221</v>
      </c>
      <c r="E6" s="202" t="n">
        <v>3593571301</v>
      </c>
      <c r="F6" s="202" t="n">
        <v>3504736843</v>
      </c>
      <c r="G6" s="202" t="n">
        <v>2214895735</v>
      </c>
      <c r="H6" s="202" t="n">
        <v>2262213603</v>
      </c>
      <c r="I6" s="203" t="n">
        <v>1849254182</v>
      </c>
      <c r="J6" s="203" t="n"/>
      <c r="K6" s="203" t="n"/>
      <c r="L6" s="203" t="n"/>
      <c r="M6" s="203" t="n"/>
      <c r="N6" s="203" t="n"/>
      <c r="P6">
        <f>IF(A6="","",SUBSTITUTE(A6," ",""))</f>
        <v/>
      </c>
      <c r="Q6">
        <f>IF(A6="","",P6&amp;"|"&amp;COUNTIF($P$2:P6,P6))</f>
        <v/>
      </c>
    </row>
    <row r="7" ht="13.5" customHeight="1" s="127">
      <c r="A7" s="119" t="inlineStr">
        <is>
          <t xml:space="preserve">        기초  상품  재고액</t>
        </is>
      </c>
      <c r="B7" s="202" t="n">
        <v>2126111102</v>
      </c>
      <c r="C7" s="202" t="n">
        <v>2126111102</v>
      </c>
      <c r="D7" s="202" t="n">
        <v>2138504857</v>
      </c>
      <c r="E7" s="202" t="n">
        <v>2234084333</v>
      </c>
      <c r="F7" s="202" t="n">
        <v>2477723821</v>
      </c>
      <c r="G7" s="202" t="n">
        <v>2748658932</v>
      </c>
      <c r="H7" s="202" t="n">
        <v>2688555911</v>
      </c>
      <c r="I7" s="203" t="n">
        <v>2999324483</v>
      </c>
      <c r="J7" s="203" t="n"/>
      <c r="K7" s="203" t="n"/>
      <c r="L7" s="203" t="n"/>
      <c r="M7" s="203" t="n"/>
      <c r="N7" s="203" t="n"/>
      <c r="P7">
        <f>IF(A7="","",SUBSTITUTE(A7," ",""))</f>
        <v/>
      </c>
      <c r="Q7">
        <f>IF(A7="","",P7&amp;"|"&amp;COUNTIF($P$2:P7,P7))</f>
        <v/>
      </c>
    </row>
    <row r="8" ht="13.5" customHeight="1" s="127">
      <c r="A8" s="119" t="inlineStr">
        <is>
          <t xml:space="preserve">        당기 상품 매 입 액</t>
        </is>
      </c>
      <c r="B8" s="202" t="n">
        <v>18479894308</v>
      </c>
      <c r="C8" s="202" t="n">
        <v>2262611475</v>
      </c>
      <c r="D8" s="202" t="n">
        <v>2098036708</v>
      </c>
      <c r="E8" s="202" t="n">
        <v>3842122282</v>
      </c>
      <c r="F8" s="202" t="n">
        <v>3789768692</v>
      </c>
      <c r="G8" s="202" t="n">
        <v>2174085277</v>
      </c>
      <c r="H8" s="202" t="n">
        <v>2581553781</v>
      </c>
      <c r="I8" s="203" t="n">
        <v>1731716093</v>
      </c>
      <c r="J8" s="203" t="n"/>
      <c r="K8" s="203" t="n"/>
      <c r="L8" s="203" t="n"/>
      <c r="M8" s="203" t="n"/>
      <c r="N8" s="203" t="n"/>
      <c r="P8">
        <f>IF(A8="","",SUBSTITUTE(A8," ",""))</f>
        <v/>
      </c>
      <c r="Q8">
        <f>IF(A8="","",P8&amp;"|"&amp;COUNTIF($P$2:P8,P8))</f>
        <v/>
      </c>
    </row>
    <row r="9" ht="13.5" customHeight="1" s="127">
      <c r="A9" s="119" t="inlineStr">
        <is>
          <t xml:space="preserve">        매   입   할    인</t>
        </is>
      </c>
      <c r="B9" s="202" t="n">
        <v>91576826</v>
      </c>
      <c r="C9" s="202" t="n">
        <v>10431457</v>
      </c>
      <c r="D9" s="202" t="n">
        <v>16102011</v>
      </c>
      <c r="E9" s="202" t="n">
        <v>4911493</v>
      </c>
      <c r="F9" s="202" t="n">
        <v>14096738</v>
      </c>
      <c r="G9" s="202" t="n">
        <v>19292563</v>
      </c>
      <c r="H9" s="202" t="n">
        <v>8571606</v>
      </c>
      <c r="I9" s="203" t="n">
        <v>18170958</v>
      </c>
      <c r="J9" s="203" t="n"/>
      <c r="K9" s="203" t="n"/>
      <c r="L9" s="203" t="n"/>
      <c r="M9" s="203" t="n"/>
      <c r="N9" s="203" t="n"/>
      <c r="P9">
        <f>IF(A9="","",SUBSTITUTE(A9," ",""))</f>
        <v/>
      </c>
      <c r="Q9">
        <f>IF(A9="","",P9&amp;"|"&amp;COUNTIF($P$2:P9,P9))</f>
        <v/>
      </c>
    </row>
    <row r="10" ht="13.5" customHeight="1" s="127">
      <c r="A10" s="119" t="inlineStr">
        <is>
          <t xml:space="preserve">        기말  상품  재고액</t>
        </is>
      </c>
      <c r="B10" s="202" t="n">
        <v>2863615436</v>
      </c>
      <c r="C10" s="202" t="n">
        <v>2138504857</v>
      </c>
      <c r="D10" s="202" t="n">
        <v>2234084333</v>
      </c>
      <c r="E10" s="202" t="n">
        <v>2477723821</v>
      </c>
      <c r="F10" s="202" t="n">
        <v>2748658932</v>
      </c>
      <c r="G10" s="202" t="n">
        <v>2688555911</v>
      </c>
      <c r="H10" s="202" t="n">
        <v>2999324483</v>
      </c>
      <c r="I10" s="203" t="n">
        <v>2863615436</v>
      </c>
      <c r="J10" s="203" t="n"/>
      <c r="K10" s="203" t="n"/>
      <c r="L10" s="203" t="n"/>
      <c r="M10" s="203" t="n"/>
      <c r="N10" s="203" t="n"/>
      <c r="P10">
        <f>IF(A10="","",SUBSTITUTE(A10," ",""))</f>
        <v/>
      </c>
      <c r="Q10">
        <f>IF(A10="","",P10&amp;"|"&amp;COUNTIF($P$2:P10,P10))</f>
        <v/>
      </c>
    </row>
    <row r="11" ht="13.5" customHeight="1" s="127">
      <c r="A11" s="121" t="inlineStr">
        <is>
          <t>Ⅲ  . 매  출  총  이  익</t>
        </is>
      </c>
      <c r="B11" s="202" t="n">
        <v>3869152188</v>
      </c>
      <c r="C11" s="202" t="n">
        <v>495595384</v>
      </c>
      <c r="D11" s="202" t="n">
        <v>461426751</v>
      </c>
      <c r="E11" s="202" t="n">
        <v>734610754</v>
      </c>
      <c r="F11" s="202" t="n">
        <v>647690675</v>
      </c>
      <c r="G11" s="202" t="n">
        <v>540801780</v>
      </c>
      <c r="H11" s="202" t="n">
        <v>531638270</v>
      </c>
      <c r="I11" s="203" t="n">
        <v>457388574</v>
      </c>
      <c r="J11" s="203" t="n"/>
      <c r="K11" s="203" t="n"/>
      <c r="L11" s="203" t="n"/>
      <c r="M11" s="203" t="n"/>
      <c r="N11" s="203" t="n"/>
      <c r="P11">
        <f>IF(A11="","",SUBSTITUTE(A11," ",""))</f>
        <v/>
      </c>
      <c r="Q11">
        <f>IF(A11="","",P11&amp;"|"&amp;COUNTIF($P$2:P11,P11))</f>
        <v/>
      </c>
    </row>
    <row r="12" ht="13.5" customHeight="1" s="127">
      <c r="A12" s="121" t="inlineStr">
        <is>
          <t>Ⅳ  . 판  매  관  리  비</t>
        </is>
      </c>
      <c r="B12" s="202" t="n">
        <v>2161095954</v>
      </c>
      <c r="C12" s="202" t="n">
        <v>293673138</v>
      </c>
      <c r="D12" s="202" t="n">
        <v>283436039</v>
      </c>
      <c r="E12" s="202" t="n">
        <v>285953340</v>
      </c>
      <c r="F12" s="202" t="n">
        <v>330827620</v>
      </c>
      <c r="G12" s="202" t="n">
        <v>296592907</v>
      </c>
      <c r="H12" s="202" t="n">
        <v>380134204</v>
      </c>
      <c r="I12" s="203" t="n">
        <v>290478706</v>
      </c>
      <c r="J12" s="203" t="n"/>
      <c r="K12" s="203" t="n"/>
      <c r="L12" s="203" t="n"/>
      <c r="M12" s="203" t="n"/>
      <c r="N12" s="203" t="n"/>
      <c r="P12">
        <f>IF(A12="","",SUBSTITUTE(A12," ",""))</f>
        <v/>
      </c>
      <c r="Q12">
        <f>IF(A12="","",P12&amp;"|"&amp;COUNTIF($P$2:P12,P12))</f>
        <v/>
      </c>
    </row>
    <row r="13" ht="13.5" customHeight="1" s="127">
      <c r="A13" s="119" t="inlineStr">
        <is>
          <t xml:space="preserve">      직   원    급   여</t>
        </is>
      </c>
      <c r="B13" s="202" t="n">
        <v>1229848831</v>
      </c>
      <c r="C13" s="202" t="n">
        <v>165116668</v>
      </c>
      <c r="D13" s="202" t="n">
        <v>165116668</v>
      </c>
      <c r="E13" s="202" t="n">
        <v>164298981</v>
      </c>
      <c r="F13" s="202" t="n">
        <v>211035001</v>
      </c>
      <c r="G13" s="202" t="n">
        <v>178361269</v>
      </c>
      <c r="H13" s="202" t="n">
        <v>177293452</v>
      </c>
      <c r="I13" s="203" t="n">
        <v>168626792</v>
      </c>
      <c r="J13" s="203" t="n"/>
      <c r="K13" s="203" t="n"/>
      <c r="L13" s="203" t="n"/>
      <c r="M13" s="203" t="n"/>
      <c r="N13" s="203" t="n"/>
      <c r="P13">
        <f>IF(A13="","",SUBSTITUTE(A13," ",""))</f>
        <v/>
      </c>
      <c r="Q13">
        <f>IF(A13="","",P13&amp;"|"&amp;COUNTIF($P$2:P13,P13))</f>
        <v/>
      </c>
    </row>
    <row r="14" ht="11.25" customHeight="1" s="127">
      <c r="A14" s="122" t="inlineStr">
        <is>
          <t xml:space="preserve">      퇴   직    급   여</t>
        </is>
      </c>
      <c r="B14" s="202" t="n">
        <v>88091340</v>
      </c>
      <c r="C14" s="202" t="n">
        <v>0</v>
      </c>
      <c r="D14" s="202" t="n">
        <v>0</v>
      </c>
      <c r="E14" s="202" t="n">
        <v>2417000</v>
      </c>
      <c r="F14" s="202" t="n">
        <v>606500</v>
      </c>
      <c r="G14" s="202" t="n">
        <v>0</v>
      </c>
      <c r="H14" s="202" t="n">
        <v>85067840</v>
      </c>
      <c r="I14" s="203" t="n">
        <v>0</v>
      </c>
      <c r="J14" s="203" t="n"/>
      <c r="K14" s="203" t="n"/>
      <c r="L14" s="203" t="n"/>
      <c r="M14" s="203" t="n"/>
      <c r="N14" s="203" t="n"/>
      <c r="P14">
        <f>IF(A14="","",SUBSTITUTE(A14," ",""))</f>
        <v/>
      </c>
      <c r="Q14">
        <f>IF(A14="","",P14&amp;"|"&amp;COUNTIF($P$2:P14,P14))</f>
        <v/>
      </c>
    </row>
    <row r="15" ht="13.5" customHeight="1" s="127">
      <c r="A15" s="119" t="inlineStr">
        <is>
          <t xml:space="preserve">      복  리  후  생  비</t>
        </is>
      </c>
      <c r="B15" s="202" t="n">
        <v>110546776</v>
      </c>
      <c r="C15" s="202" t="n">
        <v>13491727</v>
      </c>
      <c r="D15" s="202" t="n">
        <v>15577491</v>
      </c>
      <c r="E15" s="202" t="n">
        <v>13132809</v>
      </c>
      <c r="F15" s="202" t="n">
        <v>14320940</v>
      </c>
      <c r="G15" s="202" t="n">
        <v>20159822</v>
      </c>
      <c r="H15" s="202" t="n">
        <v>15736532</v>
      </c>
      <c r="I15" s="203" t="n">
        <v>18127455</v>
      </c>
      <c r="J15" s="203" t="n"/>
      <c r="K15" s="203" t="n"/>
      <c r="L15" s="203" t="n"/>
      <c r="M15" s="203" t="n"/>
      <c r="N15" s="203" t="n"/>
      <c r="P15">
        <f>IF(A15="","",SUBSTITUTE(A15," ",""))</f>
        <v/>
      </c>
      <c r="Q15">
        <f>IF(A15="","",P15&amp;"|"&amp;COUNTIF($P$2:P15,P15))</f>
        <v/>
      </c>
    </row>
    <row r="16" ht="13.5" customHeight="1" s="127">
      <c r="A16" s="119" t="inlineStr">
        <is>
          <t xml:space="preserve">      여  비  교  통  비</t>
        </is>
      </c>
      <c r="B16" s="202" t="n">
        <v>7859988</v>
      </c>
      <c r="C16" s="202" t="n">
        <v>1448900</v>
      </c>
      <c r="D16" s="202" t="n">
        <v>380591</v>
      </c>
      <c r="E16" s="202" t="n">
        <v>910000</v>
      </c>
      <c r="F16" s="202" t="n">
        <v>2808322</v>
      </c>
      <c r="G16" s="202" t="n">
        <v>925289</v>
      </c>
      <c r="H16" s="202" t="n">
        <v>750486</v>
      </c>
      <c r="I16" s="203" t="n">
        <v>636400</v>
      </c>
      <c r="J16" s="203" t="n"/>
      <c r="K16" s="203" t="n"/>
      <c r="L16" s="203" t="n"/>
      <c r="M16" s="203" t="n"/>
      <c r="N16" s="203" t="n"/>
      <c r="P16">
        <f>IF(A16="","",SUBSTITUTE(A16," ",""))</f>
        <v/>
      </c>
      <c r="Q16">
        <f>IF(A16="","",P16&amp;"|"&amp;COUNTIF($P$2:P16,P16))</f>
        <v/>
      </c>
    </row>
    <row r="17" ht="13.5" customHeight="1" s="127">
      <c r="A17" s="119" t="inlineStr">
        <is>
          <t xml:space="preserve">      접      대      비</t>
        </is>
      </c>
      <c r="B17" s="202" t="n">
        <v>43323349</v>
      </c>
      <c r="C17" s="202" t="n">
        <v>2851000</v>
      </c>
      <c r="D17" s="202" t="n">
        <v>18464450</v>
      </c>
      <c r="E17" s="202" t="n">
        <v>3232900</v>
      </c>
      <c r="F17" s="202" t="n">
        <v>5015657</v>
      </c>
      <c r="G17" s="202" t="n">
        <v>3412700</v>
      </c>
      <c r="H17" s="202" t="n">
        <v>5154220</v>
      </c>
      <c r="I17" s="203" t="n">
        <v>5192422</v>
      </c>
      <c r="J17" s="203" t="n"/>
      <c r="K17" s="203" t="n"/>
      <c r="L17" s="203" t="n"/>
      <c r="M17" s="203" t="n"/>
      <c r="N17" s="203" t="n"/>
      <c r="P17">
        <f>IF(A17="","",SUBSTITUTE(A17," ",""))</f>
        <v/>
      </c>
      <c r="Q17">
        <f>IF(A17="","",P17&amp;"|"&amp;COUNTIF($P$2:P17,P17))</f>
        <v/>
      </c>
    </row>
    <row r="18" ht="13.5" customHeight="1" s="127">
      <c r="A18" s="119" t="inlineStr">
        <is>
          <t xml:space="preserve">      통      신      비</t>
        </is>
      </c>
      <c r="B18" s="202" t="n">
        <v>10884279</v>
      </c>
      <c r="C18" s="202" t="n">
        <v>1553614</v>
      </c>
      <c r="D18" s="202" t="n">
        <v>1548550</v>
      </c>
      <c r="E18" s="202" t="n">
        <v>1543792</v>
      </c>
      <c r="F18" s="202" t="n">
        <v>1551170</v>
      </c>
      <c r="G18" s="202" t="n">
        <v>1610738</v>
      </c>
      <c r="H18" s="202" t="n">
        <v>1566533</v>
      </c>
      <c r="I18" s="203" t="n">
        <v>1509882</v>
      </c>
      <c r="J18" s="203" t="n"/>
      <c r="K18" s="203" t="n"/>
      <c r="L18" s="203" t="n"/>
      <c r="M18" s="203" t="n"/>
      <c r="N18" s="203" t="n"/>
      <c r="P18">
        <f>IF(A18="","",SUBSTITUTE(A18," ",""))</f>
        <v/>
      </c>
      <c r="Q18">
        <f>IF(A18="","",P18&amp;"|"&amp;COUNTIF($P$2:P18,P18))</f>
        <v/>
      </c>
    </row>
    <row r="19" ht="13.5" customHeight="1" s="127">
      <c r="A19" s="119" t="inlineStr">
        <is>
          <t xml:space="preserve">      수  도  광  열  비</t>
        </is>
      </c>
      <c r="B19" s="202" t="n">
        <v>658900</v>
      </c>
      <c r="C19" s="202" t="n">
        <v>416690</v>
      </c>
      <c r="D19" s="202" t="n">
        <v>36590</v>
      </c>
      <c r="E19" s="202" t="n">
        <v>55710</v>
      </c>
      <c r="F19" s="202" t="n">
        <v>31410</v>
      </c>
      <c r="G19" s="202" t="n">
        <v>41020</v>
      </c>
      <c r="H19" s="202" t="n">
        <v>30840</v>
      </c>
      <c r="I19" s="203" t="n">
        <v>46640</v>
      </c>
      <c r="J19" s="203" t="n"/>
      <c r="K19" s="203" t="n"/>
      <c r="L19" s="203" t="n"/>
      <c r="M19" s="203" t="n"/>
      <c r="N19" s="203" t="n"/>
      <c r="P19">
        <f>IF(A19="","",SUBSTITUTE(A19," ",""))</f>
        <v/>
      </c>
      <c r="Q19">
        <f>IF(A19="","",P19&amp;"|"&amp;COUNTIF($P$2:P19,P19))</f>
        <v/>
      </c>
    </row>
    <row r="20" ht="13.5" customHeight="1" s="127">
      <c r="A20" s="119" t="inlineStr">
        <is>
          <t xml:space="preserve">      전      력      비</t>
        </is>
      </c>
      <c r="B20" s="202" t="n">
        <v>9937528</v>
      </c>
      <c r="C20" s="202" t="n">
        <v>1750221</v>
      </c>
      <c r="D20" s="202" t="n">
        <v>2188166</v>
      </c>
      <c r="E20" s="202" t="n">
        <v>1608472</v>
      </c>
      <c r="F20" s="202" t="n">
        <v>1205192</v>
      </c>
      <c r="G20" s="202" t="n">
        <v>974835</v>
      </c>
      <c r="H20" s="202" t="n">
        <v>958881</v>
      </c>
      <c r="I20" s="203" t="n">
        <v>1251761</v>
      </c>
      <c r="J20" s="203" t="n"/>
      <c r="K20" s="203" t="n"/>
      <c r="L20" s="203" t="n"/>
      <c r="M20" s="203" t="n"/>
      <c r="N20" s="203" t="n"/>
      <c r="P20">
        <f>IF(A20="","",SUBSTITUTE(A20," ",""))</f>
        <v/>
      </c>
      <c r="Q20">
        <f>IF(A20="","",P20&amp;"|"&amp;COUNTIF($P$2:P20,P20))</f>
        <v/>
      </c>
    </row>
    <row r="21" ht="13.5" customHeight="1" s="127">
      <c r="A21" s="119" t="inlineStr">
        <is>
          <t xml:space="preserve">      세 금 과  공 과 금</t>
        </is>
      </c>
      <c r="B21" s="202" t="n">
        <v>61818760</v>
      </c>
      <c r="C21" s="202" t="n">
        <v>13653600</v>
      </c>
      <c r="D21" s="202" t="n">
        <v>6982700</v>
      </c>
      <c r="E21" s="202" t="n">
        <v>7010270</v>
      </c>
      <c r="F21" s="202" t="n">
        <v>7048100</v>
      </c>
      <c r="G21" s="202" t="n">
        <v>7143360</v>
      </c>
      <c r="H21" s="202" t="n">
        <v>10475430</v>
      </c>
      <c r="I21" s="203" t="n">
        <v>9505300</v>
      </c>
      <c r="J21" s="203" t="n"/>
      <c r="K21" s="203" t="n"/>
      <c r="L21" s="203" t="n"/>
      <c r="M21" s="203" t="n"/>
      <c r="N21" s="203" t="n"/>
      <c r="P21">
        <f>IF(A21="","",SUBSTITUTE(A21," ",""))</f>
        <v/>
      </c>
      <c r="Q21">
        <f>IF(A21="","",P21&amp;"|"&amp;COUNTIF($P$2:P21,P21))</f>
        <v/>
      </c>
    </row>
    <row r="22" ht="13.5" customHeight="1" s="127">
      <c r="A22" s="119" t="inlineStr">
        <is>
          <t xml:space="preserve">      감  가  상  각  비</t>
        </is>
      </c>
      <c r="B22" s="202" t="n">
        <v>71625807</v>
      </c>
      <c r="C22" s="202" t="n">
        <v>8823402</v>
      </c>
      <c r="D22" s="202" t="n">
        <v>8823244</v>
      </c>
      <c r="E22" s="202" t="n">
        <v>8823244</v>
      </c>
      <c r="F22" s="202" t="n">
        <v>10167968</v>
      </c>
      <c r="G22" s="202" t="n">
        <v>11662651</v>
      </c>
      <c r="H22" s="202" t="n">
        <v>11662649</v>
      </c>
      <c r="I22" s="203" t="n">
        <v>11662649</v>
      </c>
      <c r="J22" s="203" t="n"/>
      <c r="K22" s="203" t="n"/>
      <c r="L22" s="203" t="n"/>
      <c r="M22" s="203" t="n"/>
      <c r="N22" s="203" t="n"/>
      <c r="P22">
        <f>IF(A22="","",SUBSTITUTE(A22," ",""))</f>
        <v/>
      </c>
      <c r="Q22">
        <f>IF(A22="","",P22&amp;"|"&amp;COUNTIF($P$2:P22,P22))</f>
        <v/>
      </c>
    </row>
    <row r="23" ht="13.5" customHeight="1" s="127">
      <c r="A23" s="119" t="inlineStr">
        <is>
          <t xml:space="preserve">      지  급  임  차  료</t>
        </is>
      </c>
      <c r="B23" s="202" t="n">
        <v>94500000</v>
      </c>
      <c r="C23" s="202" t="n">
        <v>13500000</v>
      </c>
      <c r="D23" s="202" t="n">
        <v>13500000</v>
      </c>
      <c r="E23" s="202" t="n">
        <v>13500000</v>
      </c>
      <c r="F23" s="202" t="n">
        <v>13500000</v>
      </c>
      <c r="G23" s="202" t="n">
        <v>13500000</v>
      </c>
      <c r="H23" s="202" t="n">
        <v>13500000</v>
      </c>
      <c r="I23" s="203" t="n">
        <v>13500000</v>
      </c>
      <c r="J23" s="203" t="n"/>
      <c r="K23" s="203" t="n"/>
      <c r="L23" s="203" t="n"/>
      <c r="M23" s="203" t="n"/>
      <c r="N23" s="203" t="n"/>
      <c r="P23">
        <f>IF(A23="","",SUBSTITUTE(A23," ",""))</f>
        <v/>
      </c>
      <c r="Q23">
        <f>IF(A23="","",P23&amp;"|"&amp;COUNTIF($P$2:P23,P23))</f>
        <v/>
      </c>
    </row>
    <row r="24" ht="13.5" customHeight="1" s="127">
      <c r="A24" s="119" t="inlineStr">
        <is>
          <t xml:space="preserve">      보      험      료</t>
        </is>
      </c>
      <c r="B24" s="202" t="n">
        <v>48751589</v>
      </c>
      <c r="C24" s="202" t="n">
        <v>15663708</v>
      </c>
      <c r="D24" s="202" t="n">
        <v>5397377</v>
      </c>
      <c r="E24" s="202" t="n">
        <v>10141505</v>
      </c>
      <c r="F24" s="202" t="n">
        <v>4254552</v>
      </c>
      <c r="G24" s="202" t="n">
        <v>5965087</v>
      </c>
      <c r="H24" s="202" t="n">
        <v>4097930</v>
      </c>
      <c r="I24" s="203" t="n">
        <v>3231430</v>
      </c>
      <c r="J24" s="203" t="n"/>
      <c r="K24" s="203" t="n"/>
      <c r="L24" s="203" t="n"/>
      <c r="M24" s="203" t="n"/>
      <c r="N24" s="203" t="n"/>
      <c r="P24">
        <f>IF(A24="","",SUBSTITUTE(A24," ",""))</f>
        <v/>
      </c>
      <c r="Q24">
        <f>IF(A24="","",P24&amp;"|"&amp;COUNTIF($P$2:P24,P24))</f>
        <v/>
      </c>
    </row>
    <row r="25" ht="13.5" customHeight="1" s="127">
      <c r="A25" s="119" t="inlineStr">
        <is>
          <t xml:space="preserve">      차  량  유  지  비</t>
        </is>
      </c>
      <c r="B25" s="202" t="n">
        <v>155024259</v>
      </c>
      <c r="C25" s="202" t="n">
        <v>19333975</v>
      </c>
      <c r="D25" s="202" t="n">
        <v>17873186</v>
      </c>
      <c r="E25" s="202" t="n">
        <v>20774039</v>
      </c>
      <c r="F25" s="202" t="n">
        <v>28171664</v>
      </c>
      <c r="G25" s="202" t="n">
        <v>19541338</v>
      </c>
      <c r="H25" s="202" t="n">
        <v>23455020</v>
      </c>
      <c r="I25" s="203" t="n">
        <v>25875037</v>
      </c>
      <c r="J25" s="203" t="n"/>
      <c r="K25" s="203" t="n"/>
      <c r="L25" s="203" t="n"/>
      <c r="M25" s="203" t="n"/>
      <c r="N25" s="203" t="n"/>
      <c r="P25">
        <f>IF(A25="","",SUBSTITUTE(A25," ",""))</f>
        <v/>
      </c>
      <c r="Q25">
        <f>IF(A25="","",P25&amp;"|"&amp;COUNTIF($P$2:P25,P25))</f>
        <v/>
      </c>
    </row>
    <row r="26" ht="13.5" customHeight="1" s="127">
      <c r="A26" s="119" t="inlineStr">
        <is>
          <t xml:space="preserve">      운      반      비</t>
        </is>
      </c>
      <c r="B26" s="202" t="n">
        <v>11781419</v>
      </c>
      <c r="C26" s="202" t="n">
        <v>1774119</v>
      </c>
      <c r="D26" s="202" t="n">
        <v>1290155</v>
      </c>
      <c r="E26" s="202" t="n">
        <v>1536718</v>
      </c>
      <c r="F26" s="202" t="n">
        <v>2736936</v>
      </c>
      <c r="G26" s="202" t="n">
        <v>1154891</v>
      </c>
      <c r="H26" s="202" t="n">
        <v>2250264</v>
      </c>
      <c r="I26" s="203" t="n">
        <v>1038336</v>
      </c>
      <c r="J26" s="203" t="n"/>
      <c r="K26" s="203" t="n"/>
      <c r="L26" s="203" t="n"/>
      <c r="M26" s="203" t="n"/>
      <c r="N26" s="203" t="n"/>
      <c r="P26">
        <f>IF(A26="","",SUBSTITUTE(A26," ",""))</f>
        <v/>
      </c>
      <c r="Q26">
        <f>IF(A26="","",P26&amp;"|"&amp;COUNTIF($P$2:P26,P26))</f>
        <v/>
      </c>
    </row>
    <row r="27" ht="13.5" customHeight="1" s="127">
      <c r="A27" s="119" t="inlineStr">
        <is>
          <t xml:space="preserve">      소    모   품   비</t>
        </is>
      </c>
      <c r="B27" s="202" t="n">
        <v>18876205</v>
      </c>
      <c r="C27" s="202" t="n">
        <v>2445379</v>
      </c>
      <c r="D27" s="202" t="n">
        <v>683732</v>
      </c>
      <c r="E27" s="202" t="n">
        <v>3596924</v>
      </c>
      <c r="F27" s="202" t="n">
        <v>1948321</v>
      </c>
      <c r="G27" s="202" t="n">
        <v>3037487</v>
      </c>
      <c r="H27" s="202" t="n">
        <v>1602097</v>
      </c>
      <c r="I27" s="203" t="n">
        <v>5562265</v>
      </c>
      <c r="J27" s="203" t="n"/>
      <c r="K27" s="203" t="n"/>
      <c r="L27" s="203" t="n"/>
      <c r="M27" s="203" t="n"/>
      <c r="N27" s="203" t="n"/>
      <c r="P27">
        <f>IF(A27="","",SUBSTITUTE(A27," ",""))</f>
        <v/>
      </c>
      <c r="Q27">
        <f>IF(A27="","",P27&amp;"|"&amp;COUNTIF($P$2:P27,P27))</f>
        <v/>
      </c>
    </row>
    <row r="28" ht="11.25" customHeight="1" s="127">
      <c r="A28" s="122" t="inlineStr">
        <is>
          <t xml:space="preserve">      지  급  수  수  료</t>
        </is>
      </c>
      <c r="B28" s="202" t="n">
        <v>196598820</v>
      </c>
      <c r="C28" s="202" t="n">
        <v>31388944</v>
      </c>
      <c r="D28" s="202" t="n">
        <v>25573139</v>
      </c>
      <c r="E28" s="202" t="n">
        <v>33370976</v>
      </c>
      <c r="F28" s="202" t="n">
        <v>26110603</v>
      </c>
      <c r="G28" s="202" t="n">
        <v>28910791</v>
      </c>
      <c r="H28" s="202" t="n">
        <v>26532030</v>
      </c>
      <c r="I28" s="203" t="n">
        <v>24712337</v>
      </c>
      <c r="J28" s="203" t="n"/>
      <c r="K28" s="203" t="n"/>
      <c r="L28" s="203" t="n"/>
      <c r="M28" s="203" t="n"/>
      <c r="N28" s="203" t="n"/>
      <c r="P28">
        <f>IF(A28="","",SUBSTITUTE(A28," ",""))</f>
        <v/>
      </c>
      <c r="Q28">
        <f>IF(A28="","",P28&amp;"|"&amp;COUNTIF($P$2:P28,P28))</f>
        <v/>
      </c>
    </row>
    <row r="29" ht="13.5" customHeight="1" s="127">
      <c r="A29" s="119" t="inlineStr">
        <is>
          <t xml:space="preserve">      수  출  제  비  용</t>
        </is>
      </c>
      <c r="B29" s="202" t="n">
        <v>968104</v>
      </c>
      <c r="C29" s="202" t="n">
        <v>461191</v>
      </c>
      <c r="D29" s="202" t="n">
        <v>0</v>
      </c>
      <c r="E29" s="202" t="n">
        <v>0</v>
      </c>
      <c r="F29" s="202" t="n">
        <v>315284</v>
      </c>
      <c r="G29" s="202" t="n">
        <v>191629</v>
      </c>
      <c r="H29" s="202" t="n">
        <v>0</v>
      </c>
      <c r="I29" s="203" t="n">
        <v>0</v>
      </c>
      <c r="J29" s="203" t="n"/>
      <c r="K29" s="203" t="n"/>
      <c r="L29" s="203" t="n"/>
      <c r="M29" s="203" t="n"/>
      <c r="N29" s="203" t="n"/>
      <c r="P29">
        <f>IF(A29="","",SUBSTITUTE(A29," ",""))</f>
        <v/>
      </c>
      <c r="Q29">
        <f>IF(A29="","",P29&amp;"|"&amp;COUNTIF($P$2:P29,P29))</f>
        <v/>
      </c>
    </row>
    <row r="30" ht="13.5" customHeight="1" s="127">
      <c r="A30" s="119" t="inlineStr">
        <is>
          <t>Ⅴ  . 영    업   이   익</t>
        </is>
      </c>
      <c r="B30" s="202" t="n">
        <v>1708056234</v>
      </c>
      <c r="C30" s="202" t="n">
        <v>201922246</v>
      </c>
      <c r="D30" s="202" t="n">
        <v>177990712</v>
      </c>
      <c r="E30" s="202" t="n">
        <v>448657414</v>
      </c>
      <c r="F30" s="202" t="n">
        <v>316863055</v>
      </c>
      <c r="G30" s="202" t="n">
        <v>244208873</v>
      </c>
      <c r="H30" s="202" t="n">
        <v>151504066</v>
      </c>
      <c r="I30" s="203" t="n">
        <v>166909868</v>
      </c>
      <c r="J30" s="203" t="n"/>
      <c r="K30" s="203" t="n"/>
      <c r="L30" s="203" t="n"/>
      <c r="M30" s="203" t="n"/>
      <c r="N30" s="203" t="n"/>
      <c r="P30">
        <f>IF(A30="","",SUBSTITUTE(A30," ",""))</f>
        <v/>
      </c>
      <c r="Q30">
        <f>IF(A30="","",P30&amp;"|"&amp;COUNTIF($P$2:P30,P30))</f>
        <v/>
      </c>
    </row>
    <row r="31" ht="11.25" customHeight="1" s="127">
      <c r="A31" s="121" t="inlineStr">
        <is>
          <t>Ⅵ  . 영  업  외  수  익</t>
        </is>
      </c>
      <c r="B31" s="202" t="n">
        <v>145089917</v>
      </c>
      <c r="C31" s="202" t="n">
        <v>3456</v>
      </c>
      <c r="D31" s="202" t="n">
        <v>7834976</v>
      </c>
      <c r="E31" s="202" t="n">
        <v>55981200</v>
      </c>
      <c r="F31" s="202" t="n">
        <v>15130986</v>
      </c>
      <c r="G31" s="202" t="n">
        <v>16241089</v>
      </c>
      <c r="H31" s="202" t="n">
        <v>41809649</v>
      </c>
      <c r="I31" s="203" t="n">
        <v>8088561</v>
      </c>
      <c r="J31" s="203" t="n"/>
      <c r="K31" s="203" t="n"/>
      <c r="L31" s="203" t="n"/>
      <c r="M31" s="203" t="n"/>
      <c r="N31" s="203" t="n"/>
      <c r="P31">
        <f>IF(A31="","",SUBSTITUTE(A31," ",""))</f>
        <v/>
      </c>
      <c r="Q31">
        <f>IF(A31="","",P31&amp;"|"&amp;COUNTIF($P$2:P31,P31))</f>
        <v/>
      </c>
    </row>
    <row r="32" ht="13.5" customHeight="1" s="127">
      <c r="A32" s="119" t="inlineStr">
        <is>
          <t xml:space="preserve">      이    자   수   익</t>
        </is>
      </c>
      <c r="B32" s="202" t="n">
        <v>113934601</v>
      </c>
      <c r="C32" s="202" t="n">
        <v>2656</v>
      </c>
      <c r="D32" s="202" t="n">
        <v>5106911</v>
      </c>
      <c r="E32" s="202" t="n">
        <v>53038190</v>
      </c>
      <c r="F32" s="202" t="n">
        <v>4923</v>
      </c>
      <c r="G32" s="202" t="n">
        <v>12790289</v>
      </c>
      <c r="H32" s="202" t="n">
        <v>38353858</v>
      </c>
      <c r="I32" s="203" t="n">
        <v>4637774</v>
      </c>
      <c r="J32" s="203" t="n"/>
      <c r="K32" s="203" t="n"/>
      <c r="L32" s="203" t="n"/>
      <c r="M32" s="203" t="n"/>
      <c r="N32" s="203" t="n"/>
      <c r="P32">
        <f>IF(A32="","",SUBSTITUTE(A32," ",""))</f>
        <v/>
      </c>
      <c r="Q32">
        <f>IF(A32="","",P32&amp;"|"&amp;COUNTIF($P$2:P32,P32))</f>
        <v/>
      </c>
    </row>
    <row r="33" ht="13.5" customHeight="1" s="127">
      <c r="A33" s="122" t="inlineStr">
        <is>
          <t xml:space="preserve">      외    환  차    익</t>
        </is>
      </c>
      <c r="B33" s="202" t="n">
        <v>9493467</v>
      </c>
      <c r="C33" s="202" t="n">
        <v>0</v>
      </c>
      <c r="D33" s="202" t="n">
        <v>0</v>
      </c>
      <c r="E33" s="202" t="n">
        <v>0</v>
      </c>
      <c r="F33" s="202" t="n">
        <v>9493467</v>
      </c>
      <c r="G33" s="202" t="n">
        <v>0</v>
      </c>
      <c r="H33" s="202" t="n">
        <v>0</v>
      </c>
      <c r="I33" s="203" t="n">
        <v>0</v>
      </c>
      <c r="J33" s="203" t="n"/>
      <c r="K33" s="203" t="n"/>
      <c r="L33" s="203" t="n"/>
      <c r="M33" s="203" t="n"/>
      <c r="N33" s="203" t="n"/>
      <c r="P33">
        <f>IF(A33="","",SUBSTITUTE(A33," ",""))</f>
        <v/>
      </c>
      <c r="Q33">
        <f>IF(A33="","",P33&amp;"|"&amp;COUNTIF($P$2:P33,P33))</f>
        <v/>
      </c>
    </row>
    <row r="34" ht="13.5" customHeight="1" s="127">
      <c r="A34" s="122" t="inlineStr">
        <is>
          <t xml:space="preserve">      유형자산 처분 이익</t>
        </is>
      </c>
      <c r="B34" s="202" t="n">
        <v>7089909</v>
      </c>
      <c r="C34" s="202" t="n">
        <v>0</v>
      </c>
      <c r="D34" s="202" t="n">
        <v>2727273</v>
      </c>
      <c r="E34" s="202" t="n">
        <v>2180818</v>
      </c>
      <c r="F34" s="202" t="n">
        <v>2181818</v>
      </c>
      <c r="G34" s="202" t="n">
        <v>0</v>
      </c>
      <c r="H34" s="202" t="n">
        <v>0</v>
      </c>
      <c r="I34" s="203" t="n">
        <v>0</v>
      </c>
      <c r="J34" s="203" t="n"/>
      <c r="K34" s="203" t="n"/>
      <c r="L34" s="203" t="n"/>
      <c r="M34" s="203" t="n"/>
      <c r="N34" s="203" t="n"/>
      <c r="P34">
        <f>IF(A34="","",SUBSTITUTE(A34," ",""))</f>
        <v/>
      </c>
      <c r="Q34">
        <f>IF(A34="","",P34&amp;"|"&amp;COUNTIF($P$2:P34,P34))</f>
        <v/>
      </c>
    </row>
    <row r="35" ht="13.5" customHeight="1" s="127">
      <c r="A35" s="119" t="inlineStr">
        <is>
          <t xml:space="preserve">      잡      이      익</t>
        </is>
      </c>
      <c r="B35" s="202" t="n">
        <v>14571940</v>
      </c>
      <c r="C35" s="202" t="n">
        <v>800</v>
      </c>
      <c r="D35" s="202" t="n">
        <v>792</v>
      </c>
      <c r="E35" s="202" t="n">
        <v>762192</v>
      </c>
      <c r="F35" s="202" t="n">
        <v>3450778</v>
      </c>
      <c r="G35" s="202" t="n">
        <v>3450800</v>
      </c>
      <c r="H35" s="202" t="n">
        <v>3455791</v>
      </c>
      <c r="I35" s="203" t="n">
        <v>3450787</v>
      </c>
      <c r="J35" s="203" t="n"/>
      <c r="K35" s="203" t="n"/>
      <c r="L35" s="203" t="n"/>
      <c r="M35" s="203" t="n"/>
      <c r="N35" s="203" t="n"/>
      <c r="P35">
        <f>IF(A35="","",SUBSTITUTE(A35," ",""))</f>
        <v/>
      </c>
      <c r="Q35">
        <f>IF(A35="","",P35&amp;"|"&amp;COUNTIF($P$2:P35,P35))</f>
        <v/>
      </c>
    </row>
    <row r="36" ht="13.5" customHeight="1" s="127">
      <c r="A36" s="119" t="inlineStr">
        <is>
          <t>Ⅶ  . 영  업  외  비  용</t>
        </is>
      </c>
      <c r="B36" s="202" t="n">
        <v>1315405</v>
      </c>
      <c r="C36" s="202" t="n">
        <v>0</v>
      </c>
      <c r="D36" s="202" t="n">
        <v>1112869</v>
      </c>
      <c r="E36" s="202" t="n">
        <v>32000</v>
      </c>
      <c r="F36" s="202" t="n">
        <v>20600</v>
      </c>
      <c r="G36" s="202" t="n">
        <v>56000</v>
      </c>
      <c r="H36" s="202" t="n">
        <v>92006</v>
      </c>
      <c r="I36" s="203" t="n">
        <v>1930</v>
      </c>
      <c r="J36" s="203" t="n"/>
      <c r="K36" s="203" t="n"/>
      <c r="L36" s="203" t="n"/>
      <c r="M36" s="203" t="n"/>
      <c r="N36" s="203" t="n"/>
      <c r="P36">
        <f>IF(A36="","",SUBSTITUTE(A36," ",""))</f>
        <v/>
      </c>
      <c r="Q36">
        <f>IF(A36="","",P36&amp;"|"&amp;COUNTIF($P$2:P36,P36))</f>
        <v/>
      </c>
    </row>
    <row r="37" ht="13.5" customHeight="1" s="127">
      <c r="A37" s="119" t="inlineStr">
        <is>
          <t xml:space="preserve">      외   환    차   손</t>
        </is>
      </c>
      <c r="B37" s="202" t="n">
        <v>1131469</v>
      </c>
      <c r="C37" s="202" t="n">
        <v>0</v>
      </c>
      <c r="D37" s="202" t="n">
        <v>1111869</v>
      </c>
      <c r="E37" s="202" t="n">
        <v>0</v>
      </c>
      <c r="F37" s="202" t="n">
        <v>19600</v>
      </c>
      <c r="G37" s="202" t="n">
        <v>0</v>
      </c>
      <c r="H37" s="202" t="n">
        <v>0</v>
      </c>
      <c r="I37" s="203" t="n">
        <v>0</v>
      </c>
      <c r="J37" s="203" t="n"/>
      <c r="K37" s="203" t="n"/>
      <c r="L37" s="203" t="n"/>
      <c r="M37" s="203" t="n"/>
      <c r="N37" s="203" t="n"/>
      <c r="P37">
        <f>IF(A37="","",SUBSTITUTE(A37," ",""))</f>
        <v/>
      </c>
      <c r="Q37">
        <f>IF(A37="","",P37&amp;"|"&amp;COUNTIF($P$2:P37,P37))</f>
        <v/>
      </c>
    </row>
    <row r="38" ht="11.25" customHeight="1" s="127">
      <c r="A38" s="122" t="inlineStr">
        <is>
          <t xml:space="preserve">      유형자산  처분손실</t>
        </is>
      </c>
      <c r="B38" s="202" t="n">
        <v>2000</v>
      </c>
      <c r="C38" s="202" t="n">
        <v>0</v>
      </c>
      <c r="D38" s="202" t="n">
        <v>1000</v>
      </c>
      <c r="E38" s="202" t="n">
        <v>0</v>
      </c>
      <c r="F38" s="202" t="n">
        <v>1000</v>
      </c>
      <c r="G38" s="202" t="n">
        <v>0</v>
      </c>
      <c r="H38" s="202" t="n">
        <v>0</v>
      </c>
      <c r="I38" s="203" t="n">
        <v>0</v>
      </c>
      <c r="J38" s="203" t="n"/>
      <c r="K38" s="203" t="n"/>
      <c r="L38" s="203" t="n"/>
      <c r="M38" s="203" t="n"/>
      <c r="N38" s="203" t="n"/>
      <c r="P38">
        <f>IF(A38="","",SUBSTITUTE(A38," ",""))</f>
        <v/>
      </c>
      <c r="Q38">
        <f>IF(A38="","",P38&amp;"|"&amp;COUNTIF($P$2:P38,P38))</f>
        <v/>
      </c>
    </row>
    <row r="39" ht="13.5" customHeight="1" s="127">
      <c r="A39" s="119" t="inlineStr">
        <is>
          <t xml:space="preserve">      잡      손      실</t>
        </is>
      </c>
      <c r="B39" s="202" t="n">
        <v>181936</v>
      </c>
      <c r="C39" s="202" t="n">
        <v>0</v>
      </c>
      <c r="D39" s="202" t="n">
        <v>0</v>
      </c>
      <c r="E39" s="202" t="n">
        <v>32000</v>
      </c>
      <c r="F39" s="202" t="n">
        <v>0</v>
      </c>
      <c r="G39" s="202" t="n">
        <v>56000</v>
      </c>
      <c r="H39" s="202" t="n">
        <v>92006</v>
      </c>
      <c r="I39" s="203" t="n">
        <v>1930</v>
      </c>
      <c r="J39" s="203" t="n"/>
      <c r="K39" s="203" t="n"/>
      <c r="L39" s="203" t="n"/>
      <c r="M39" s="203" t="n"/>
      <c r="N39" s="203" t="n"/>
      <c r="P39">
        <f>IF(A39="","",SUBSTITUTE(A39," ",""))</f>
        <v/>
      </c>
      <c r="Q39">
        <f>IF(A39="","",P39&amp;"|"&amp;COUNTIF($P$2:P39,P39))</f>
        <v/>
      </c>
    </row>
    <row r="40" ht="13.5" customHeight="1" s="127">
      <c r="A40" s="121" t="inlineStr">
        <is>
          <t>Ⅷ  . 법인세비용차감전순이익</t>
        </is>
      </c>
      <c r="B40" s="202" t="n">
        <v>1851830746</v>
      </c>
      <c r="C40" s="202" t="n">
        <v>201925702</v>
      </c>
      <c r="D40" s="202" t="n">
        <v>184712819</v>
      </c>
      <c r="E40" s="202" t="n">
        <v>504606614</v>
      </c>
      <c r="F40" s="202" t="n">
        <v>331973441</v>
      </c>
      <c r="G40" s="202" t="n">
        <v>260393962</v>
      </c>
      <c r="H40" s="202" t="n">
        <v>193221709</v>
      </c>
      <c r="I40" s="203" t="n">
        <v>174996499</v>
      </c>
      <c r="J40" s="203" t="n"/>
      <c r="K40" s="203" t="n"/>
      <c r="L40" s="203" t="n"/>
      <c r="M40" s="203" t="n"/>
      <c r="N40" s="203" t="n"/>
      <c r="P40">
        <f>IF(A40="","",SUBSTITUTE(A40," ",""))</f>
        <v/>
      </c>
      <c r="Q40">
        <f>IF(A40="","",P40&amp;"|"&amp;COUNTIF($P$2:P40,P40))</f>
        <v/>
      </c>
    </row>
    <row r="41" ht="11.25" customHeight="1" s="127">
      <c r="A41" s="121" t="inlineStr">
        <is>
          <t>Ⅸ  . 법  인  세  비  용</t>
        </is>
      </c>
      <c r="B41" s="202" t="n">
        <v>0</v>
      </c>
      <c r="C41" s="202" t="n">
        <v>0</v>
      </c>
      <c r="D41" s="202" t="n">
        <v>0</v>
      </c>
      <c r="E41" s="202" t="n">
        <v>0</v>
      </c>
      <c r="F41" s="202" t="n">
        <v>0</v>
      </c>
      <c r="G41" s="202" t="n">
        <v>0</v>
      </c>
      <c r="H41" s="202" t="n">
        <v>0</v>
      </c>
      <c r="I41" s="203" t="n">
        <v>0</v>
      </c>
      <c r="J41" s="203" t="n"/>
      <c r="K41" s="203" t="n"/>
      <c r="L41" s="203" t="n"/>
      <c r="M41" s="203" t="n"/>
      <c r="N41" s="203" t="n"/>
      <c r="P41">
        <f>IF(A41="","",SUBSTITUTE(A41," ",""))</f>
        <v/>
      </c>
      <c r="Q41">
        <f>IF(A41="","",P41&amp;"|"&amp;COUNTIF($P$2:P41,P41))</f>
        <v/>
      </c>
    </row>
    <row r="42" ht="13.5" customHeight="1" s="127">
      <c r="A42" s="119" t="inlineStr">
        <is>
          <t>Ⅹ  . 당  기  순  이  익</t>
        </is>
      </c>
      <c r="B42" s="202" t="n">
        <v>1851830746</v>
      </c>
      <c r="C42" s="202" t="n">
        <v>201925702</v>
      </c>
      <c r="D42" s="202" t="n">
        <v>184712819</v>
      </c>
      <c r="E42" s="202" t="n">
        <v>504606614</v>
      </c>
      <c r="F42" s="202" t="n">
        <v>331973441</v>
      </c>
      <c r="G42" s="202" t="n">
        <v>260393962</v>
      </c>
      <c r="H42" s="202" t="n">
        <v>193221709</v>
      </c>
      <c r="I42" s="202" t="n">
        <v>174996499</v>
      </c>
      <c r="J42" s="202" t="n"/>
      <c r="K42" s="202" t="n"/>
      <c r="L42" s="202" t="n"/>
      <c r="M42" s="202" t="n"/>
      <c r="N42" s="202" t="n"/>
      <c r="P42">
        <f>IF(A42="","",SUBSTITUTE(A42," ",""))</f>
        <v/>
      </c>
      <c r="Q42">
        <f>IF(A42="","",P42&amp;"|"&amp;COUNTIF($P$2:P42,P42))</f>
        <v/>
      </c>
    </row>
    <row r="43" ht="13.5" customHeight="1" s="127">
      <c r="A43" s="119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</row>
    <row r="44" ht="13.5" customHeight="1" s="127">
      <c r="A44" s="119" t="n"/>
      <c r="B44" s="202" t="n"/>
      <c r="C44" s="202" t="n"/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</row>
    <row r="45" ht="11.25" customHeight="1" s="127">
      <c r="A45" s="121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</row>
    <row r="46" ht="13.5" customHeight="1" s="127">
      <c r="A46" s="121" t="n"/>
      <c r="B46" s="202" t="n"/>
      <c r="C46" s="202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</row>
    <row r="47" ht="13.5" customHeight="1" s="127">
      <c r="A47" s="121" t="n"/>
      <c r="B47" s="202" t="n"/>
      <c r="C47" s="202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</row>
    <row r="48" ht="13.5" customHeight="1" s="127">
      <c r="A48" s="121" t="n"/>
      <c r="B48" s="202" t="n"/>
      <c r="C48" s="202" t="n"/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</row>
    <row r="49" ht="11.25" customHeight="1" s="127"/>
    <row r="50" ht="11.25" customHeight="1" s="127"/>
    <row r="51" ht="11.25" customHeight="1" s="127"/>
    <row r="52" ht="11.25" customHeight="1" s="127"/>
    <row r="53" ht="11.25" customHeight="1" s="127"/>
    <row r="54" ht="11.25" customHeight="1" s="127"/>
    <row r="55" ht="11.25" customHeight="1" s="127"/>
    <row r="56" ht="11.25" customHeight="1" s="127"/>
    <row r="57" ht="11.25" customHeight="1" s="127"/>
    <row r="58" ht="11.25" customHeight="1" s="127"/>
    <row r="59" ht="11.25" customHeight="1" s="127"/>
    <row r="60" ht="11.25" customHeight="1" s="127"/>
    <row r="61" ht="11.25" customHeight="1" s="127"/>
    <row r="62" ht="11.25" customHeight="1" s="127"/>
    <row r="63" ht="11.25" customHeight="1" s="127"/>
    <row r="64" ht="11.25" customHeight="1" s="127"/>
    <row r="65" ht="11.25" customHeight="1" s="127"/>
    <row r="66" ht="11.25" customHeight="1" s="127"/>
    <row r="67" ht="11.25" customHeight="1" s="127"/>
    <row r="68" ht="11.25" customHeight="1" s="127"/>
    <row r="69" ht="11.25" customHeight="1" s="127"/>
    <row r="70" ht="11.25" customHeight="1" s="127"/>
    <row r="71" ht="11.25" customHeight="1" s="127"/>
    <row r="72" ht="11.25" customHeight="1" s="127"/>
    <row r="73" ht="11.25" customHeight="1" s="127"/>
    <row r="74" ht="11.25" customHeight="1" s="127"/>
    <row r="75" ht="11.25" customHeight="1" s="127"/>
    <row r="76" ht="11.25" customHeight="1" s="127"/>
    <row r="77" ht="11.25" customHeight="1" s="127"/>
    <row r="78" ht="11.25" customHeight="1" s="127"/>
    <row r="79" ht="11.25" customHeight="1" s="127"/>
    <row r="80" ht="11.25" customHeight="1" s="127"/>
  </sheetData>
  <pageMargins left="0.75" right="0.75" top="1" bottom="1" header="0.511811023622047" footer="0.511811023622047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zoomScaleNormal="100" workbookViewId="0">
      <selection activeCell="P3" sqref="P3"/>
    </sheetView>
  </sheetViews>
  <sheetFormatPr baseColWidth="8" defaultColWidth="15.33203125" defaultRowHeight="11.25"/>
  <cols>
    <col width="30" customWidth="1" style="127" min="1" max="1"/>
    <col width="20" customWidth="1" style="127" min="2" max="2"/>
    <col width="15.1640625" customWidth="1" style="127" min="3" max="3"/>
    <col width="20" customWidth="1" style="127" min="4" max="14"/>
    <col width="13" customWidth="1" style="127" min="15" max="16"/>
    <col width="30" customWidth="1" style="127" min="254" max="254"/>
    <col width="20" customWidth="1" style="127" min="255" max="260"/>
    <col width="30" customWidth="1" style="127" min="510" max="510"/>
    <col width="20" customWidth="1" style="127" min="511" max="516"/>
    <col width="30" customWidth="1" style="127" min="766" max="766"/>
    <col width="20" customWidth="1" style="127" min="767" max="772"/>
    <col width="30" customWidth="1" style="127" min="1022" max="1022"/>
    <col width="20" customWidth="1" style="127" min="1023" max="1028"/>
    <col width="30" customWidth="1" style="127" min="1278" max="1278"/>
    <col width="20" customWidth="1" style="127" min="1279" max="1284"/>
    <col width="30" customWidth="1" style="127" min="1534" max="1534"/>
    <col width="20" customWidth="1" style="127" min="1535" max="1540"/>
    <col width="30" customWidth="1" style="127" min="1790" max="1790"/>
    <col width="20" customWidth="1" style="127" min="1791" max="1796"/>
    <col width="30" customWidth="1" style="127" min="2046" max="2046"/>
    <col width="20" customWidth="1" style="127" min="2047" max="2052"/>
    <col width="30" customWidth="1" style="127" min="2302" max="2302"/>
    <col width="20" customWidth="1" style="127" min="2303" max="2308"/>
    <col width="30" customWidth="1" style="127" min="2558" max="2558"/>
    <col width="20" customWidth="1" style="127" min="2559" max="2564"/>
    <col width="30" customWidth="1" style="127" min="2814" max="2814"/>
    <col width="20" customWidth="1" style="127" min="2815" max="2820"/>
    <col width="30" customWidth="1" style="127" min="3070" max="3070"/>
    <col width="20" customWidth="1" style="127" min="3071" max="3076"/>
    <col width="30" customWidth="1" style="127" min="3326" max="3326"/>
    <col width="20" customWidth="1" style="127" min="3327" max="3332"/>
    <col width="30" customWidth="1" style="127" min="3582" max="3582"/>
    <col width="20" customWidth="1" style="127" min="3583" max="3588"/>
    <col width="30" customWidth="1" style="127" min="3838" max="3838"/>
    <col width="20" customWidth="1" style="127" min="3839" max="3844"/>
    <col width="30" customWidth="1" style="127" min="4094" max="4094"/>
    <col width="20" customWidth="1" style="127" min="4095" max="4100"/>
    <col width="30" customWidth="1" style="127" min="4350" max="4350"/>
    <col width="20" customWidth="1" style="127" min="4351" max="4356"/>
    <col width="30" customWidth="1" style="127" min="4606" max="4606"/>
    <col width="20" customWidth="1" style="127" min="4607" max="4612"/>
    <col width="30" customWidth="1" style="127" min="4862" max="4862"/>
    <col width="20" customWidth="1" style="127" min="4863" max="4868"/>
    <col width="30" customWidth="1" style="127" min="5118" max="5118"/>
    <col width="20" customWidth="1" style="127" min="5119" max="5124"/>
    <col width="30" customWidth="1" style="127" min="5374" max="5374"/>
    <col width="20" customWidth="1" style="127" min="5375" max="5380"/>
    <col width="30" customWidth="1" style="127" min="5630" max="5630"/>
    <col width="20" customWidth="1" style="127" min="5631" max="5636"/>
    <col width="30" customWidth="1" style="127" min="5886" max="5886"/>
    <col width="20" customWidth="1" style="127" min="5887" max="5892"/>
    <col width="30" customWidth="1" style="127" min="6142" max="6142"/>
    <col width="20" customWidth="1" style="127" min="6143" max="6148"/>
    <col width="30" customWidth="1" style="127" min="6398" max="6398"/>
    <col width="20" customWidth="1" style="127" min="6399" max="6404"/>
    <col width="30" customWidth="1" style="127" min="6654" max="6654"/>
    <col width="20" customWidth="1" style="127" min="6655" max="6660"/>
    <col width="30" customWidth="1" style="127" min="6910" max="6910"/>
    <col width="20" customWidth="1" style="127" min="6911" max="6916"/>
    <col width="30" customWidth="1" style="127" min="7166" max="7166"/>
    <col width="20" customWidth="1" style="127" min="7167" max="7172"/>
    <col width="30" customWidth="1" style="127" min="7422" max="7422"/>
    <col width="20" customWidth="1" style="127" min="7423" max="7428"/>
    <col width="30" customWidth="1" style="127" min="7678" max="7678"/>
    <col width="20" customWidth="1" style="127" min="7679" max="7684"/>
    <col width="30" customWidth="1" style="127" min="7934" max="7934"/>
    <col width="20" customWidth="1" style="127" min="7935" max="7940"/>
    <col width="30" customWidth="1" style="127" min="8190" max="8190"/>
    <col width="20" customWidth="1" style="127" min="8191" max="8196"/>
    <col width="30" customWidth="1" style="127" min="8446" max="8446"/>
    <col width="20" customWidth="1" style="127" min="8447" max="8452"/>
    <col width="30" customWidth="1" style="127" min="8702" max="8702"/>
    <col width="20" customWidth="1" style="127" min="8703" max="8708"/>
    <col width="30" customWidth="1" style="127" min="8958" max="8958"/>
    <col width="20" customWidth="1" style="127" min="8959" max="8964"/>
    <col width="30" customWidth="1" style="127" min="9214" max="9214"/>
    <col width="20" customWidth="1" style="127" min="9215" max="9220"/>
    <col width="30" customWidth="1" style="127" min="9470" max="9470"/>
    <col width="20" customWidth="1" style="127" min="9471" max="9476"/>
    <col width="30" customWidth="1" style="127" min="9726" max="9726"/>
    <col width="20" customWidth="1" style="127" min="9727" max="9732"/>
    <col width="30" customWidth="1" style="127" min="9982" max="9982"/>
    <col width="20" customWidth="1" style="127" min="9983" max="9988"/>
    <col width="30" customWidth="1" style="127" min="10238" max="10238"/>
    <col width="20" customWidth="1" style="127" min="10239" max="10244"/>
    <col width="30" customWidth="1" style="127" min="10494" max="10494"/>
    <col width="20" customWidth="1" style="127" min="10495" max="10500"/>
    <col width="30" customWidth="1" style="127" min="10750" max="10750"/>
    <col width="20" customWidth="1" style="127" min="10751" max="10756"/>
    <col width="30" customWidth="1" style="127" min="11006" max="11006"/>
    <col width="20" customWidth="1" style="127" min="11007" max="11012"/>
    <col width="30" customWidth="1" style="127" min="11262" max="11262"/>
    <col width="20" customWidth="1" style="127" min="11263" max="11268"/>
    <col width="30" customWidth="1" style="127" min="11518" max="11518"/>
    <col width="20" customWidth="1" style="127" min="11519" max="11524"/>
    <col width="30" customWidth="1" style="127" min="11774" max="11774"/>
    <col width="20" customWidth="1" style="127" min="11775" max="11780"/>
    <col width="30" customWidth="1" style="127" min="12030" max="12030"/>
    <col width="20" customWidth="1" style="127" min="12031" max="12036"/>
    <col width="30" customWidth="1" style="127" min="12286" max="12286"/>
    <col width="20" customWidth="1" style="127" min="12287" max="12292"/>
    <col width="30" customWidth="1" style="127" min="12542" max="12542"/>
    <col width="20" customWidth="1" style="127" min="12543" max="12548"/>
    <col width="30" customWidth="1" style="127" min="12798" max="12798"/>
    <col width="20" customWidth="1" style="127" min="12799" max="12804"/>
    <col width="30" customWidth="1" style="127" min="13054" max="13054"/>
    <col width="20" customWidth="1" style="127" min="13055" max="13060"/>
    <col width="30" customWidth="1" style="127" min="13310" max="13310"/>
    <col width="20" customWidth="1" style="127" min="13311" max="13316"/>
    <col width="30" customWidth="1" style="127" min="13566" max="13566"/>
    <col width="20" customWidth="1" style="127" min="13567" max="13572"/>
    <col width="30" customWidth="1" style="127" min="13822" max="13822"/>
    <col width="20" customWidth="1" style="127" min="13823" max="13828"/>
    <col width="30" customWidth="1" style="127" min="14078" max="14078"/>
    <col width="20" customWidth="1" style="127" min="14079" max="14084"/>
    <col width="30" customWidth="1" style="127" min="14334" max="14334"/>
    <col width="20" customWidth="1" style="127" min="14335" max="14340"/>
    <col width="30" customWidth="1" style="127" min="14590" max="14590"/>
    <col width="20" customWidth="1" style="127" min="14591" max="14596"/>
    <col width="30" customWidth="1" style="127" min="14846" max="14846"/>
    <col width="20" customWidth="1" style="127" min="14847" max="14852"/>
    <col width="30" customWidth="1" style="127" min="15102" max="15102"/>
    <col width="20" customWidth="1" style="127" min="15103" max="15108"/>
    <col width="30" customWidth="1" style="127" min="15358" max="15358"/>
    <col width="20" customWidth="1" style="127" min="15359" max="15364"/>
    <col width="30" customWidth="1" style="127" min="15614" max="15614"/>
    <col width="20" customWidth="1" style="127" min="15615" max="15620"/>
    <col width="30" customWidth="1" style="127" min="15870" max="15870"/>
    <col width="20" customWidth="1" style="127" min="15871" max="15876"/>
    <col width="30" customWidth="1" style="127" min="16126" max="16126"/>
    <col width="20" customWidth="1" style="127" min="16127" max="16132"/>
  </cols>
  <sheetData>
    <row r="1" ht="16.5" customHeight="1" s="127">
      <c r="A1" s="159" t="inlineStr">
        <is>
          <t>과  목</t>
        </is>
      </c>
      <c r="B1" s="159" t="inlineStr">
        <is>
          <t>계</t>
        </is>
      </c>
      <c r="C1" s="123" t="inlineStr">
        <is>
          <t>1월</t>
        </is>
      </c>
      <c r="D1" s="123" t="inlineStr">
        <is>
          <t>2월</t>
        </is>
      </c>
      <c r="E1" s="123" t="inlineStr">
        <is>
          <t>3월</t>
        </is>
      </c>
      <c r="F1" s="123" t="inlineStr">
        <is>
          <t>4월</t>
        </is>
      </c>
      <c r="G1" s="123" t="inlineStr">
        <is>
          <t>5월</t>
        </is>
      </c>
      <c r="H1" s="123" t="inlineStr">
        <is>
          <t>6월</t>
        </is>
      </c>
      <c r="I1" s="123" t="inlineStr">
        <is>
          <t>7월</t>
        </is>
      </c>
      <c r="J1" s="123" t="inlineStr">
        <is>
          <t>8월</t>
        </is>
      </c>
      <c r="K1" s="123" t="inlineStr">
        <is>
          <t>9월</t>
        </is>
      </c>
      <c r="L1" s="123" t="inlineStr">
        <is>
          <t>10월</t>
        </is>
      </c>
      <c r="M1" s="123" t="inlineStr">
        <is>
          <t>11월</t>
        </is>
      </c>
      <c r="N1" s="123" t="inlineStr">
        <is>
          <t>12월</t>
        </is>
      </c>
    </row>
    <row r="2" ht="13.5" customHeight="1" s="127">
      <c r="A2" s="121" t="inlineStr">
        <is>
          <t>Ⅰ  . 매      출      액</t>
        </is>
      </c>
      <c r="B2" s="202" t="n">
        <v>19689650568</v>
      </c>
      <c r="C2" s="202" t="n">
        <v>2259822004</v>
      </c>
      <c r="D2" s="202" t="n">
        <v>2611620075</v>
      </c>
      <c r="E2" s="202" t="n">
        <v>3088311293</v>
      </c>
      <c r="F2" s="202" t="n">
        <v>3252016356</v>
      </c>
      <c r="G2" s="202" t="n">
        <v>2900947613</v>
      </c>
      <c r="H2" s="202" t="n">
        <v>2811952670</v>
      </c>
      <c r="I2" s="203" t="n">
        <v>2764980557</v>
      </c>
      <c r="J2" s="203" t="n"/>
      <c r="K2" s="203" t="n"/>
      <c r="L2" s="203" t="n"/>
      <c r="M2" s="203" t="n"/>
      <c r="N2" s="203" t="n"/>
      <c r="O2">
        <f>IF(A2="","",SUBSTITUTE(A2," ",""))</f>
        <v/>
      </c>
      <c r="P2">
        <f>IF(A2="","",O2&amp;"|"&amp;COUNTIF($O$2:O2,O2))</f>
        <v/>
      </c>
    </row>
    <row r="3" ht="13.5" customHeight="1" s="127">
      <c r="A3" s="119" t="inlineStr">
        <is>
          <t xml:space="preserve">      상    품   매   출</t>
        </is>
      </c>
      <c r="B3" s="202" t="n">
        <v>19576088228</v>
      </c>
      <c r="C3" s="202" t="n">
        <v>2249949486</v>
      </c>
      <c r="D3" s="202" t="n">
        <v>2611620075</v>
      </c>
      <c r="E3" s="202" t="n">
        <v>2987460975</v>
      </c>
      <c r="F3" s="202" t="n">
        <v>3252016356</v>
      </c>
      <c r="G3" s="202" t="n">
        <v>2898108109</v>
      </c>
      <c r="H3" s="202" t="n">
        <v>2811952670</v>
      </c>
      <c r="I3" s="203" t="n">
        <v>2764980557</v>
      </c>
      <c r="J3" s="203" t="n"/>
      <c r="K3" s="203" t="n"/>
      <c r="L3" s="203" t="n"/>
      <c r="M3" s="203" t="n"/>
      <c r="N3" s="203" t="n"/>
      <c r="O3">
        <f>IF(A3="","",SUBSTITUTE(A3," ",""))</f>
        <v/>
      </c>
      <c r="P3">
        <f>IF(A3="","",O3&amp;"|"&amp;COUNTIF($O$2:O3,O3))</f>
        <v/>
      </c>
    </row>
    <row r="4" ht="13.5" customHeight="1" s="127">
      <c r="A4" s="119" t="inlineStr">
        <is>
          <t xml:space="preserve">      상 품  수 출 매 출</t>
        </is>
      </c>
      <c r="B4" s="202" t="n">
        <v>113562340</v>
      </c>
      <c r="C4" s="202" t="n">
        <v>9872518</v>
      </c>
      <c r="D4" s="202" t="n">
        <v>0</v>
      </c>
      <c r="E4" s="202" t="n">
        <v>100850318</v>
      </c>
      <c r="F4" s="202" t="n">
        <v>0</v>
      </c>
      <c r="G4" s="202" t="n">
        <v>2839504</v>
      </c>
      <c r="H4" s="202" t="n">
        <v>0</v>
      </c>
      <c r="I4" s="203" t="n">
        <v>0</v>
      </c>
      <c r="J4" s="203" t="n"/>
      <c r="K4" s="203" t="n"/>
      <c r="L4" s="203" t="n"/>
      <c r="M4" s="203" t="n"/>
      <c r="N4" s="203" t="n"/>
      <c r="O4">
        <f>IF(A4="","",SUBSTITUTE(A4," ",""))</f>
        <v/>
      </c>
      <c r="P4">
        <f>IF(A4="","",O4&amp;"|"&amp;COUNTIF($O$2:O4,O4))</f>
        <v/>
      </c>
    </row>
    <row r="5" ht="13.5" customHeight="1" s="127">
      <c r="A5" s="121" t="inlineStr">
        <is>
          <t>Ⅱ  . 매    출   원   가</t>
        </is>
      </c>
      <c r="B5" s="202" t="n">
        <v>16467043458</v>
      </c>
      <c r="C5" s="202" t="n">
        <v>1932310934</v>
      </c>
      <c r="D5" s="202" t="n">
        <v>2202706401</v>
      </c>
      <c r="E5" s="202" t="n">
        <v>2584452050</v>
      </c>
      <c r="F5" s="202" t="n">
        <v>2720044477</v>
      </c>
      <c r="G5" s="202" t="n">
        <v>2408362753</v>
      </c>
      <c r="H5" s="202" t="n">
        <v>2294682196</v>
      </c>
      <c r="I5" s="203" t="n">
        <v>2324484647</v>
      </c>
      <c r="J5" s="203" t="n"/>
      <c r="K5" s="203" t="n"/>
      <c r="L5" s="203" t="n"/>
      <c r="M5" s="203" t="n"/>
      <c r="N5" s="203" t="n"/>
      <c r="O5">
        <f>IF(A5="","",SUBSTITUTE(A5," ",""))</f>
        <v/>
      </c>
      <c r="P5">
        <f>IF(A5="","",O5&amp;"|"&amp;COUNTIF($O$2:O5,O5))</f>
        <v/>
      </c>
    </row>
    <row r="6" ht="13.5" customHeight="1" s="127">
      <c r="A6" s="119" t="inlineStr">
        <is>
          <t xml:space="preserve">      상 품 매 출  원 가</t>
        </is>
      </c>
      <c r="B6" s="202" t="n">
        <v>16467043458</v>
      </c>
      <c r="C6" s="202" t="n">
        <v>1932310934</v>
      </c>
      <c r="D6" s="202" t="n">
        <v>2202706401</v>
      </c>
      <c r="E6" s="202" t="n">
        <v>2584452050</v>
      </c>
      <c r="F6" s="202" t="n">
        <v>2720044477</v>
      </c>
      <c r="G6" s="202" t="n">
        <v>2408362753</v>
      </c>
      <c r="H6" s="202" t="n">
        <v>2294682196</v>
      </c>
      <c r="I6" s="203" t="n">
        <v>2324484647</v>
      </c>
      <c r="J6" s="203" t="n"/>
      <c r="K6" s="203" t="n"/>
      <c r="L6" s="203" t="n"/>
      <c r="M6" s="203" t="n"/>
      <c r="N6" s="203" t="n"/>
      <c r="O6">
        <f>IF(A6="","",SUBSTITUTE(A6," ",""))</f>
        <v/>
      </c>
      <c r="P6">
        <f>IF(A6="","",O6&amp;"|"&amp;COUNTIF($O$2:O6,O6))</f>
        <v/>
      </c>
    </row>
    <row r="7" ht="13.5" customHeight="1" s="127">
      <c r="A7" s="119" t="inlineStr">
        <is>
          <t xml:space="preserve">        기초  상품  재고액</t>
        </is>
      </c>
      <c r="B7" s="202" t="n">
        <v>2098835763</v>
      </c>
      <c r="C7" s="202" t="n">
        <v>2098835763</v>
      </c>
      <c r="D7" s="202" t="n">
        <v>2202511203</v>
      </c>
      <c r="E7" s="202" t="n">
        <v>2199480449</v>
      </c>
      <c r="F7" s="202" t="n">
        <v>2215051462</v>
      </c>
      <c r="G7" s="202" t="n">
        <v>2183380286</v>
      </c>
      <c r="H7" s="202" t="n">
        <v>2098118507</v>
      </c>
      <c r="I7" s="203" t="n">
        <v>2164065867</v>
      </c>
      <c r="J7" s="203" t="n"/>
      <c r="K7" s="203" t="n"/>
      <c r="L7" s="203" t="n"/>
      <c r="M7" s="203" t="n"/>
      <c r="N7" s="203" t="n"/>
      <c r="O7">
        <f>IF(A7="","",SUBSTITUTE(A7," ",""))</f>
        <v/>
      </c>
      <c r="P7">
        <f>IF(A7="","",O7&amp;"|"&amp;COUNTIF($O$2:O7,O7))</f>
        <v/>
      </c>
    </row>
    <row r="8" ht="13.5" customHeight="1" s="127">
      <c r="A8" s="119" t="inlineStr">
        <is>
          <t xml:space="preserve">        당기 상품 매 입 액</t>
        </is>
      </c>
      <c r="B8" s="202" t="n">
        <v>16610240340</v>
      </c>
      <c r="C8" s="202" t="n">
        <v>2046901901</v>
      </c>
      <c r="D8" s="202" t="n">
        <v>2207681760</v>
      </c>
      <c r="E8" s="202" t="n">
        <v>2607090450</v>
      </c>
      <c r="F8" s="202" t="n">
        <v>2698904276</v>
      </c>
      <c r="G8" s="202" t="n">
        <v>2335105851</v>
      </c>
      <c r="H8" s="202" t="n">
        <v>2367296740</v>
      </c>
      <c r="I8" s="203" t="n">
        <v>2347259362</v>
      </c>
      <c r="J8" s="203" t="n"/>
      <c r="K8" s="203" t="n"/>
      <c r="L8" s="203" t="n"/>
      <c r="M8" s="203" t="n"/>
      <c r="N8" s="203" t="n"/>
      <c r="O8">
        <f>IF(A8="","",SUBSTITUTE(A8," ",""))</f>
        <v/>
      </c>
      <c r="P8">
        <f>IF(A8="","",O8&amp;"|"&amp;COUNTIF($O$2:O8,O8))</f>
        <v/>
      </c>
    </row>
    <row r="9" ht="13.5" customHeight="1" s="127">
      <c r="A9" s="119" t="inlineStr">
        <is>
          <t xml:space="preserve">        매   입   할    인</t>
        </is>
      </c>
      <c r="B9" s="202" t="n">
        <v>62693149</v>
      </c>
      <c r="C9" s="202" t="n">
        <v>10915527</v>
      </c>
      <c r="D9" s="202" t="n">
        <v>8006113</v>
      </c>
      <c r="E9" s="202" t="n">
        <v>7067387</v>
      </c>
      <c r="F9" s="202" t="n">
        <v>10530975</v>
      </c>
      <c r="G9" s="202" t="n">
        <v>12004877</v>
      </c>
      <c r="H9" s="202" t="n">
        <v>6667184</v>
      </c>
      <c r="I9" s="203" t="n">
        <v>7501086</v>
      </c>
      <c r="J9" s="203" t="n"/>
      <c r="K9" s="203" t="n"/>
      <c r="L9" s="203" t="n"/>
      <c r="M9" s="203" t="n"/>
      <c r="N9" s="203" t="n"/>
      <c r="O9">
        <f>IF(A9="","",SUBSTITUTE(A9," ",""))</f>
        <v/>
      </c>
      <c r="P9">
        <f>IF(A9="","",O9&amp;"|"&amp;COUNTIF($O$2:O9,O9))</f>
        <v/>
      </c>
    </row>
    <row r="10" ht="13.5" customHeight="1" s="127">
      <c r="A10" s="119" t="inlineStr">
        <is>
          <t xml:space="preserve">        기말  상품  재고액</t>
        </is>
      </c>
      <c r="B10" s="202" t="n">
        <v>2179339496</v>
      </c>
      <c r="C10" s="202" t="n">
        <v>2202511203</v>
      </c>
      <c r="D10" s="202" t="n">
        <v>2199480449</v>
      </c>
      <c r="E10" s="202" t="n">
        <v>2215051462</v>
      </c>
      <c r="F10" s="202" t="n">
        <v>2183380286</v>
      </c>
      <c r="G10" s="202" t="n">
        <v>2098118507</v>
      </c>
      <c r="H10" s="202" t="n">
        <v>2164065867</v>
      </c>
      <c r="I10" s="203" t="n">
        <v>2179339496</v>
      </c>
      <c r="J10" s="203" t="n"/>
      <c r="K10" s="203" t="n"/>
      <c r="L10" s="203" t="n"/>
      <c r="M10" s="203" t="n"/>
      <c r="N10" s="203" t="n"/>
      <c r="O10">
        <f>IF(A10="","",SUBSTITUTE(A10," ",""))</f>
        <v/>
      </c>
      <c r="P10">
        <f>IF(A10="","",O10&amp;"|"&amp;COUNTIF($O$2:O10,O10))</f>
        <v/>
      </c>
    </row>
    <row r="11" ht="13.5" customHeight="1" s="127">
      <c r="A11" s="121" t="inlineStr">
        <is>
          <t>Ⅲ  . 매  출  총  이  익</t>
        </is>
      </c>
      <c r="B11" s="202" t="n">
        <v>3222607110</v>
      </c>
      <c r="C11" s="202" t="n">
        <v>327511070</v>
      </c>
      <c r="D11" s="202" t="n">
        <v>408913674</v>
      </c>
      <c r="E11" s="202" t="n">
        <v>503859243</v>
      </c>
      <c r="F11" s="202" t="n">
        <v>531971879</v>
      </c>
      <c r="G11" s="202" t="n">
        <v>492584860</v>
      </c>
      <c r="H11" s="202" t="n">
        <v>517270474</v>
      </c>
      <c r="I11" s="203" t="n">
        <v>440495910</v>
      </c>
      <c r="J11" s="203" t="n"/>
      <c r="K11" s="203" t="n"/>
      <c r="L11" s="203" t="n"/>
      <c r="M11" s="203" t="n"/>
      <c r="N11" s="203" t="n"/>
      <c r="O11">
        <f>IF(A11="","",SUBSTITUTE(A11," ",""))</f>
        <v/>
      </c>
      <c r="P11">
        <f>IF(A11="","",O11&amp;"|"&amp;COUNTIF($O$2:O11,O11))</f>
        <v/>
      </c>
    </row>
    <row r="12" ht="13.5" customHeight="1" s="127">
      <c r="A12" s="121" t="inlineStr">
        <is>
          <t>Ⅳ  . 판  매  관  리  비</t>
        </is>
      </c>
      <c r="B12" s="202" t="n">
        <v>1948634682</v>
      </c>
      <c r="C12" s="202" t="n">
        <v>286769154</v>
      </c>
      <c r="D12" s="202" t="n">
        <v>260263942</v>
      </c>
      <c r="E12" s="202" t="n">
        <v>281123798</v>
      </c>
      <c r="F12" s="202" t="n">
        <v>266372656</v>
      </c>
      <c r="G12" s="202" t="n">
        <v>268138369</v>
      </c>
      <c r="H12" s="202" t="n">
        <v>312221903</v>
      </c>
      <c r="I12" s="203" t="n">
        <v>273744860</v>
      </c>
      <c r="J12" s="203" t="n"/>
      <c r="K12" s="203" t="n"/>
      <c r="L12" s="203" t="n"/>
      <c r="M12" s="203" t="n"/>
      <c r="N12" s="203" t="n"/>
      <c r="O12">
        <f>IF(A12="","",SUBSTITUTE(A12," ",""))</f>
        <v/>
      </c>
      <c r="P12">
        <f>IF(A12="","",O12&amp;"|"&amp;COUNTIF($O$2:O12,O12))</f>
        <v/>
      </c>
    </row>
    <row r="13" ht="13.5" customHeight="1" s="127">
      <c r="A13" s="119" t="inlineStr">
        <is>
          <t xml:space="preserve">      직   원    급   여</t>
        </is>
      </c>
      <c r="B13" s="202" t="n">
        <v>1170857179</v>
      </c>
      <c r="C13" s="202" t="n">
        <v>159934683</v>
      </c>
      <c r="D13" s="202" t="n">
        <v>160558333</v>
      </c>
      <c r="E13" s="202" t="n">
        <v>162139803</v>
      </c>
      <c r="F13" s="202" t="n">
        <v>159965336</v>
      </c>
      <c r="G13" s="202" t="n">
        <v>156225003</v>
      </c>
      <c r="H13" s="202" t="n">
        <v>206817353</v>
      </c>
      <c r="I13" s="203" t="n">
        <v>165216668</v>
      </c>
      <c r="J13" s="203" t="n"/>
      <c r="K13" s="203" t="n"/>
      <c r="L13" s="203" t="n"/>
      <c r="M13" s="203" t="n"/>
      <c r="N13" s="203" t="n"/>
      <c r="O13">
        <f>IF(A13="","",SUBSTITUTE(A13," ",""))</f>
        <v/>
      </c>
      <c r="P13">
        <f>IF(A13="","",O13&amp;"|"&amp;COUNTIF($O$2:O13,O13))</f>
        <v/>
      </c>
    </row>
    <row r="14" ht="13.5" customHeight="1" s="127">
      <c r="A14" s="119" t="inlineStr">
        <is>
          <t xml:space="preserve">      퇴   직    급   여</t>
        </is>
      </c>
      <c r="B14" s="202" t="n">
        <v>3419250</v>
      </c>
      <c r="C14" s="202" t="n">
        <v>0</v>
      </c>
      <c r="D14" s="202" t="n">
        <v>0</v>
      </c>
      <c r="E14" s="202" t="n">
        <v>0</v>
      </c>
      <c r="F14" s="202" t="n">
        <v>2391780</v>
      </c>
      <c r="G14" s="202" t="n">
        <v>1027470</v>
      </c>
      <c r="H14" s="202" t="n">
        <v>0</v>
      </c>
      <c r="I14" s="203" t="n">
        <v>0</v>
      </c>
      <c r="J14" s="203" t="n"/>
      <c r="K14" s="203" t="n"/>
      <c r="L14" s="203" t="n"/>
      <c r="M14" s="203" t="n"/>
      <c r="N14" s="203" t="n"/>
      <c r="O14">
        <f>IF(A14="","",SUBSTITUTE(A14," ",""))</f>
        <v/>
      </c>
      <c r="P14">
        <f>IF(A14="","",O14&amp;"|"&amp;COUNTIF($O$2:O14,O14))</f>
        <v/>
      </c>
    </row>
    <row r="15" ht="13.5" customHeight="1" s="127">
      <c r="A15" s="119" t="inlineStr">
        <is>
          <t xml:space="preserve">      복  리  후  생  비</t>
        </is>
      </c>
      <c r="B15" s="202" t="n">
        <v>97328369</v>
      </c>
      <c r="C15" s="202" t="n">
        <v>13384368</v>
      </c>
      <c r="D15" s="202" t="n">
        <v>12458555</v>
      </c>
      <c r="E15" s="202" t="n">
        <v>11081209</v>
      </c>
      <c r="F15" s="202" t="n">
        <v>14204566</v>
      </c>
      <c r="G15" s="202" t="n">
        <v>21443516</v>
      </c>
      <c r="H15" s="202" t="n">
        <v>11894145</v>
      </c>
      <c r="I15" s="203" t="n">
        <v>12862010</v>
      </c>
      <c r="J15" s="203" t="n"/>
      <c r="K15" s="203" t="n"/>
      <c r="L15" s="203" t="n"/>
      <c r="M15" s="203" t="n"/>
      <c r="N15" s="203" t="n"/>
      <c r="O15">
        <f>IF(A15="","",SUBSTITUTE(A15," ",""))</f>
        <v/>
      </c>
      <c r="P15">
        <f>IF(A15="","",O15&amp;"|"&amp;COUNTIF($O$2:O15,O15))</f>
        <v/>
      </c>
    </row>
    <row r="16" ht="13.5" customHeight="1" s="127">
      <c r="A16" s="119" t="inlineStr">
        <is>
          <t xml:space="preserve">      여  비  교  통  비</t>
        </is>
      </c>
      <c r="B16" s="202" t="n">
        <v>4245185</v>
      </c>
      <c r="C16" s="202" t="n">
        <v>370200</v>
      </c>
      <c r="D16" s="202" t="n">
        <v>788000</v>
      </c>
      <c r="E16" s="202" t="n">
        <v>539100</v>
      </c>
      <c r="F16" s="202" t="n">
        <v>506700</v>
      </c>
      <c r="G16" s="202" t="n">
        <v>827400</v>
      </c>
      <c r="H16" s="202" t="n">
        <v>217600</v>
      </c>
      <c r="I16" s="203" t="n">
        <v>996185</v>
      </c>
      <c r="J16" s="203" t="n"/>
      <c r="K16" s="203" t="n"/>
      <c r="L16" s="203" t="n"/>
      <c r="M16" s="203" t="n"/>
      <c r="N16" s="203" t="n"/>
      <c r="O16">
        <f>IF(A16="","",SUBSTITUTE(A16," ",""))</f>
        <v/>
      </c>
      <c r="P16">
        <f>IF(A16="","",O16&amp;"|"&amp;COUNTIF($O$2:O16,O16))</f>
        <v/>
      </c>
    </row>
    <row r="17" ht="13.5" customHeight="1" s="127">
      <c r="A17" s="119" t="inlineStr">
        <is>
          <t xml:space="preserve">      접      대      비</t>
        </is>
      </c>
      <c r="B17" s="202" t="n">
        <v>39117430</v>
      </c>
      <c r="C17" s="202" t="n">
        <v>16172200</v>
      </c>
      <c r="D17" s="202" t="n">
        <v>1913680</v>
      </c>
      <c r="E17" s="202" t="n">
        <v>4930000</v>
      </c>
      <c r="F17" s="202" t="n">
        <v>3218150</v>
      </c>
      <c r="G17" s="202" t="n">
        <v>5064800</v>
      </c>
      <c r="H17" s="202" t="n">
        <v>3327100</v>
      </c>
      <c r="I17" s="203" t="n">
        <v>4491500</v>
      </c>
      <c r="J17" s="203" t="n"/>
      <c r="K17" s="203" t="n"/>
      <c r="L17" s="203" t="n"/>
      <c r="M17" s="203" t="n"/>
      <c r="N17" s="203" t="n"/>
      <c r="O17">
        <f>IF(A17="","",SUBSTITUTE(A17," ",""))</f>
        <v/>
      </c>
      <c r="P17">
        <f>IF(A17="","",O17&amp;"|"&amp;COUNTIF($O$2:O17,O17))</f>
        <v/>
      </c>
    </row>
    <row r="18" ht="13.5" customHeight="1" s="127">
      <c r="A18" s="119" t="inlineStr">
        <is>
          <t xml:space="preserve">      통      신      비</t>
        </is>
      </c>
      <c r="B18" s="202" t="n">
        <v>10964361</v>
      </c>
      <c r="C18" s="202" t="n">
        <v>1573665</v>
      </c>
      <c r="D18" s="202" t="n">
        <v>1544148</v>
      </c>
      <c r="E18" s="202" t="n">
        <v>1578167</v>
      </c>
      <c r="F18" s="202" t="n">
        <v>1579893</v>
      </c>
      <c r="G18" s="202" t="n">
        <v>1564424</v>
      </c>
      <c r="H18" s="202" t="n">
        <v>1547905</v>
      </c>
      <c r="I18" s="203" t="n">
        <v>1576159</v>
      </c>
      <c r="J18" s="203" t="n"/>
      <c r="K18" s="203" t="n"/>
      <c r="L18" s="203" t="n"/>
      <c r="M18" s="203" t="n"/>
      <c r="N18" s="203" t="n"/>
      <c r="O18">
        <f>IF(A18="","",SUBSTITUTE(A18," ",""))</f>
        <v/>
      </c>
      <c r="P18">
        <f>IF(A18="","",O18&amp;"|"&amp;COUNTIF($O$2:O18,O18))</f>
        <v/>
      </c>
    </row>
    <row r="19" ht="13.5" customHeight="1" s="127">
      <c r="A19" s="119" t="inlineStr">
        <is>
          <t xml:space="preserve">      수  도  광  열  비</t>
        </is>
      </c>
      <c r="B19" s="202" t="n">
        <v>537830</v>
      </c>
      <c r="C19" s="202" t="n">
        <v>224570</v>
      </c>
      <c r="D19" s="202" t="n">
        <v>139230</v>
      </c>
      <c r="E19" s="202" t="n">
        <v>36040</v>
      </c>
      <c r="F19" s="202" t="n">
        <v>26440</v>
      </c>
      <c r="G19" s="202" t="n">
        <v>41830</v>
      </c>
      <c r="H19" s="202" t="n">
        <v>30770</v>
      </c>
      <c r="I19" s="203" t="n">
        <v>38950</v>
      </c>
      <c r="J19" s="203" t="n"/>
      <c r="K19" s="203" t="n"/>
      <c r="L19" s="203" t="n"/>
      <c r="M19" s="203" t="n"/>
      <c r="N19" s="203" t="n"/>
      <c r="O19">
        <f>IF(A19="","",SUBSTITUTE(A19," ",""))</f>
        <v/>
      </c>
      <c r="P19">
        <f>IF(A19="","",O19&amp;"|"&amp;COUNTIF($O$2:O19,O19))</f>
        <v/>
      </c>
    </row>
    <row r="20" ht="13.5" customHeight="1" s="127">
      <c r="A20" s="119" t="inlineStr">
        <is>
          <t xml:space="preserve">      전      력      비</t>
        </is>
      </c>
      <c r="B20" s="202" t="n">
        <v>9546653</v>
      </c>
      <c r="C20" s="202" t="n">
        <v>1655930</v>
      </c>
      <c r="D20" s="202" t="n">
        <v>1864436</v>
      </c>
      <c r="E20" s="202" t="n">
        <v>1713705</v>
      </c>
      <c r="F20" s="202" t="n">
        <v>1197096</v>
      </c>
      <c r="G20" s="202" t="n">
        <v>985023</v>
      </c>
      <c r="H20" s="202" t="n">
        <v>927238</v>
      </c>
      <c r="I20" s="203" t="n">
        <v>1203225</v>
      </c>
      <c r="J20" s="203" t="n"/>
      <c r="K20" s="203" t="n"/>
      <c r="L20" s="203" t="n"/>
      <c r="M20" s="203" t="n"/>
      <c r="N20" s="203" t="n"/>
      <c r="O20">
        <f>IF(A20="","",SUBSTITUTE(A20," ",""))</f>
        <v/>
      </c>
      <c r="P20">
        <f>IF(A20="","",O20&amp;"|"&amp;COUNTIF($O$2:O20,O20))</f>
        <v/>
      </c>
    </row>
    <row r="21" ht="13.5" customHeight="1" s="127">
      <c r="A21" s="119" t="inlineStr">
        <is>
          <t xml:space="preserve">      세 금 과  공 과 금</t>
        </is>
      </c>
      <c r="B21" s="202" t="n">
        <v>58666660</v>
      </c>
      <c r="C21" s="202" t="n">
        <v>7166210</v>
      </c>
      <c r="D21" s="202" t="n">
        <v>9804760</v>
      </c>
      <c r="E21" s="202" t="n">
        <v>7169550</v>
      </c>
      <c r="F21" s="202" t="n">
        <v>7177450</v>
      </c>
      <c r="G21" s="202" t="n">
        <v>7267440</v>
      </c>
      <c r="H21" s="202" t="n">
        <v>10391150</v>
      </c>
      <c r="I21" s="203" t="n">
        <v>9690100</v>
      </c>
      <c r="J21" s="203" t="n"/>
      <c r="K21" s="203" t="n"/>
      <c r="L21" s="203" t="n"/>
      <c r="M21" s="203" t="n"/>
      <c r="N21" s="203" t="n"/>
      <c r="O21">
        <f>IF(A21="","",SUBSTITUTE(A21," ",""))</f>
        <v/>
      </c>
      <c r="P21">
        <f>IF(A21="","",O21&amp;"|"&amp;COUNTIF($O$2:O21,O21))</f>
        <v/>
      </c>
    </row>
    <row r="22" ht="13.5" customHeight="1" s="127">
      <c r="A22" s="119" t="inlineStr">
        <is>
          <t xml:space="preserve">      감  가  상  각  비</t>
        </is>
      </c>
      <c r="B22" s="202" t="n">
        <v>86462149</v>
      </c>
      <c r="C22" s="202" t="n">
        <v>12315392</v>
      </c>
      <c r="D22" s="202" t="n">
        <v>12351012</v>
      </c>
      <c r="E22" s="202" t="n">
        <v>12351010</v>
      </c>
      <c r="F22" s="202" t="n">
        <v>12351010</v>
      </c>
      <c r="G22" s="202" t="n">
        <v>12351010</v>
      </c>
      <c r="H22" s="202" t="n">
        <v>12351010</v>
      </c>
      <c r="I22" s="203" t="n">
        <v>12391705</v>
      </c>
      <c r="J22" s="203" t="n"/>
      <c r="K22" s="203" t="n"/>
      <c r="L22" s="203" t="n"/>
      <c r="M22" s="203" t="n"/>
      <c r="N22" s="203" t="n"/>
      <c r="O22">
        <f>IF(A22="","",SUBSTITUTE(A22," ",""))</f>
        <v/>
      </c>
      <c r="P22">
        <f>IF(A22="","",O22&amp;"|"&amp;COUNTIF($O$2:O22,O22))</f>
        <v/>
      </c>
    </row>
    <row r="23" ht="13.5" customHeight="1" s="127">
      <c r="A23" s="119" t="inlineStr">
        <is>
          <t xml:space="preserve">      지  급  임  차  료</t>
        </is>
      </c>
      <c r="B23" s="202" t="n">
        <v>94500000</v>
      </c>
      <c r="C23" s="202" t="n">
        <v>13500000</v>
      </c>
      <c r="D23" s="202" t="n">
        <v>13500000</v>
      </c>
      <c r="E23" s="202" t="n">
        <v>13500000</v>
      </c>
      <c r="F23" s="202" t="n">
        <v>13500000</v>
      </c>
      <c r="G23" s="202" t="n">
        <v>13500000</v>
      </c>
      <c r="H23" s="202" t="n">
        <v>13500000</v>
      </c>
      <c r="I23" s="203" t="n">
        <v>13500000</v>
      </c>
      <c r="J23" s="203" t="n"/>
      <c r="K23" s="203" t="n"/>
      <c r="L23" s="203" t="n"/>
      <c r="M23" s="203" t="n"/>
      <c r="N23" s="203" t="n"/>
      <c r="O23">
        <f>IF(A23="","",SUBSTITUTE(A23," ",""))</f>
        <v/>
      </c>
      <c r="P23">
        <f>IF(A23="","",O23&amp;"|"&amp;COUNTIF($O$2:O23,O23))</f>
        <v/>
      </c>
    </row>
    <row r="24" ht="13.5" customHeight="1" s="127">
      <c r="A24" s="119" t="inlineStr">
        <is>
          <t xml:space="preserve">      보      험      료</t>
        </is>
      </c>
      <c r="B24" s="202" t="n">
        <v>49358485</v>
      </c>
      <c r="C24" s="202" t="n">
        <v>17822605</v>
      </c>
      <c r="D24" s="202" t="n">
        <v>5896727</v>
      </c>
      <c r="E24" s="202" t="n">
        <v>9987150</v>
      </c>
      <c r="F24" s="202" t="n">
        <v>4591574</v>
      </c>
      <c r="G24" s="202" t="n">
        <v>3955890</v>
      </c>
      <c r="H24" s="202" t="n">
        <v>3891199</v>
      </c>
      <c r="I24" s="203" t="n">
        <v>3213340</v>
      </c>
      <c r="J24" s="203" t="n"/>
      <c r="K24" s="203" t="n"/>
      <c r="L24" s="203" t="n"/>
      <c r="M24" s="203" t="n"/>
      <c r="N24" s="203" t="n"/>
      <c r="O24">
        <f>IF(A24="","",SUBSTITUTE(A24," ",""))</f>
        <v/>
      </c>
      <c r="P24">
        <f>IF(A24="","",O24&amp;"|"&amp;COUNTIF($O$2:O24,O24))</f>
        <v/>
      </c>
    </row>
    <row r="25" ht="13.5" customHeight="1" s="127">
      <c r="A25" s="119" t="inlineStr">
        <is>
          <t xml:space="preserve">      차  량  유  지  비</t>
        </is>
      </c>
      <c r="B25" s="202" t="n">
        <v>136538142</v>
      </c>
      <c r="C25" s="202" t="n">
        <v>16936992</v>
      </c>
      <c r="D25" s="202" t="n">
        <v>22883144</v>
      </c>
      <c r="E25" s="202" t="n">
        <v>18056953</v>
      </c>
      <c r="F25" s="202" t="n">
        <v>20489068</v>
      </c>
      <c r="G25" s="202" t="n">
        <v>18675432</v>
      </c>
      <c r="H25" s="202" t="n">
        <v>18738705</v>
      </c>
      <c r="I25" s="203" t="n">
        <v>20757848</v>
      </c>
      <c r="J25" s="203" t="n"/>
      <c r="K25" s="203" t="n"/>
      <c r="L25" s="203" t="n"/>
      <c r="M25" s="203" t="n"/>
      <c r="N25" s="203" t="n"/>
      <c r="O25">
        <f>IF(A25="","",SUBSTITUTE(A25," ",""))</f>
        <v/>
      </c>
      <c r="P25">
        <f>IF(A25="","",O25&amp;"|"&amp;COUNTIF($O$2:O25,O25))</f>
        <v/>
      </c>
    </row>
    <row r="26" ht="13.5" customHeight="1" s="127">
      <c r="A26" s="119" t="inlineStr">
        <is>
          <t xml:space="preserve">      운      반      비</t>
        </is>
      </c>
      <c r="B26" s="202" t="n">
        <v>16218767</v>
      </c>
      <c r="C26" s="202" t="n">
        <v>3218046</v>
      </c>
      <c r="D26" s="202" t="n">
        <v>1674100</v>
      </c>
      <c r="E26" s="202" t="n">
        <v>2256119</v>
      </c>
      <c r="F26" s="202" t="n">
        <v>1300828</v>
      </c>
      <c r="G26" s="202" t="n">
        <v>1999546</v>
      </c>
      <c r="H26" s="202" t="n">
        <v>3771664</v>
      </c>
      <c r="I26" s="203" t="n">
        <v>1998464</v>
      </c>
      <c r="J26" s="203" t="n"/>
      <c r="K26" s="203" t="n"/>
      <c r="L26" s="203" t="n"/>
      <c r="M26" s="203" t="n"/>
      <c r="N26" s="203" t="n"/>
      <c r="O26">
        <f>IF(A26="","",SUBSTITUTE(A26," ",""))</f>
        <v/>
      </c>
      <c r="P26">
        <f>IF(A26="","",O26&amp;"|"&amp;COUNTIF($O$2:O26,O26))</f>
        <v/>
      </c>
    </row>
    <row r="27" ht="13.5" customHeight="1" s="127">
      <c r="A27" s="119" t="inlineStr">
        <is>
          <t xml:space="preserve">      소    모   품   비</t>
        </is>
      </c>
      <c r="B27" s="202" t="n">
        <v>10701551</v>
      </c>
      <c r="C27" s="202" t="n">
        <v>1736949</v>
      </c>
      <c r="D27" s="202" t="n">
        <v>1107237</v>
      </c>
      <c r="E27" s="202" t="n">
        <v>1257367</v>
      </c>
      <c r="F27" s="202" t="n">
        <v>1552520</v>
      </c>
      <c r="G27" s="202" t="n">
        <v>3575582</v>
      </c>
      <c r="H27" s="202" t="n">
        <v>501086</v>
      </c>
      <c r="I27" s="203" t="n">
        <v>970810</v>
      </c>
      <c r="J27" s="203" t="n"/>
      <c r="K27" s="203" t="n"/>
      <c r="L27" s="203" t="n"/>
      <c r="M27" s="203" t="n"/>
      <c r="N27" s="203" t="n"/>
      <c r="O27">
        <f>IF(A27="","",SUBSTITUTE(A27," ",""))</f>
        <v/>
      </c>
      <c r="P27">
        <f>IF(A27="","",O27&amp;"|"&amp;COUNTIF($O$2:O27,O27))</f>
        <v/>
      </c>
    </row>
    <row r="28" ht="13.5" customHeight="1" s="127">
      <c r="A28" s="119" t="inlineStr">
        <is>
          <t xml:space="preserve">      지  급  수  수  료</t>
        </is>
      </c>
      <c r="B28" s="202" t="n">
        <v>157513549</v>
      </c>
      <c r="C28" s="202" t="n">
        <v>20134912</v>
      </c>
      <c r="D28" s="202" t="n">
        <v>13780580</v>
      </c>
      <c r="E28" s="202" t="n">
        <v>33354398</v>
      </c>
      <c r="F28" s="202" t="n">
        <v>22212442</v>
      </c>
      <c r="G28" s="202" t="n">
        <v>19010498</v>
      </c>
      <c r="H28" s="202" t="n">
        <v>24194823</v>
      </c>
      <c r="I28" s="203" t="n">
        <v>24825896</v>
      </c>
      <c r="J28" s="203" t="n"/>
      <c r="K28" s="203" t="n"/>
      <c r="L28" s="203" t="n"/>
      <c r="M28" s="203" t="n"/>
      <c r="N28" s="203" t="n"/>
      <c r="O28">
        <f>IF(A28="","",SUBSTITUTE(A28," ",""))</f>
        <v/>
      </c>
      <c r="P28">
        <f>IF(A28="","",O28&amp;"|"&amp;COUNTIF($O$2:O28,O28))</f>
        <v/>
      </c>
    </row>
    <row r="29" ht="13.5" customHeight="1" s="127">
      <c r="A29" s="119" t="inlineStr">
        <is>
          <t xml:space="preserve">      수  출  제  비  용</t>
        </is>
      </c>
      <c r="B29" s="202" t="n">
        <v>2659122</v>
      </c>
      <c r="C29" s="202" t="n">
        <v>622432</v>
      </c>
      <c r="D29" s="202" t="n">
        <v>0</v>
      </c>
      <c r="E29" s="202" t="n">
        <v>1173227</v>
      </c>
      <c r="F29" s="202" t="n">
        <v>107803</v>
      </c>
      <c r="G29" s="202" t="n">
        <v>623505</v>
      </c>
      <c r="H29" s="202" t="n">
        <v>120155</v>
      </c>
      <c r="I29" s="203" t="n">
        <v>12000</v>
      </c>
      <c r="J29" s="203" t="n"/>
      <c r="K29" s="203" t="n"/>
      <c r="L29" s="203" t="n"/>
      <c r="M29" s="203" t="n"/>
      <c r="N29" s="203" t="n"/>
      <c r="O29">
        <f>IF(A29="","",SUBSTITUTE(A29," ",""))</f>
        <v/>
      </c>
      <c r="P29">
        <f>IF(A29="","",O29&amp;"|"&amp;COUNTIF($O$2:O29,O29))</f>
        <v/>
      </c>
    </row>
    <row r="30" ht="13.5" customHeight="1" s="127">
      <c r="A30" s="121" t="inlineStr">
        <is>
          <t>Ⅴ  . 영    업   이   익</t>
        </is>
      </c>
      <c r="B30" s="202" t="n">
        <v>1273972428</v>
      </c>
      <c r="C30" s="202" t="n">
        <v>40741916</v>
      </c>
      <c r="D30" s="202" t="n">
        <v>148649732</v>
      </c>
      <c r="E30" s="202" t="n">
        <v>222735445</v>
      </c>
      <c r="F30" s="202" t="n">
        <v>265599223</v>
      </c>
      <c r="G30" s="202" t="n">
        <v>224446491</v>
      </c>
      <c r="H30" s="202" t="n">
        <v>205048571</v>
      </c>
      <c r="I30" s="203" t="n">
        <v>166751050</v>
      </c>
      <c r="J30" s="203" t="n"/>
      <c r="K30" s="203" t="n"/>
      <c r="L30" s="203" t="n"/>
      <c r="M30" s="203" t="n"/>
      <c r="N30" s="203" t="n"/>
      <c r="O30">
        <f>IF(A30="","",SUBSTITUTE(A30," ",""))</f>
        <v/>
      </c>
      <c r="P30">
        <f>IF(A30="","",O30&amp;"|"&amp;COUNTIF($O$2:O30,O30))</f>
        <v/>
      </c>
    </row>
    <row r="31" ht="13.5" customHeight="1" s="127">
      <c r="A31" s="121" t="inlineStr">
        <is>
          <t>Ⅵ  . 영  업  외  수  익</t>
        </is>
      </c>
      <c r="B31" s="202" t="n">
        <v>110853921</v>
      </c>
      <c r="C31" s="202" t="n">
        <v>183178</v>
      </c>
      <c r="D31" s="202" t="n">
        <v>4067</v>
      </c>
      <c r="E31" s="202" t="n">
        <v>7711604</v>
      </c>
      <c r="F31" s="202" t="n">
        <v>48618404</v>
      </c>
      <c r="G31" s="202" t="n">
        <v>4960592</v>
      </c>
      <c r="H31" s="202" t="n">
        <v>8296276</v>
      </c>
      <c r="I31" s="203" t="n">
        <v>41079800</v>
      </c>
      <c r="J31" s="203" t="n"/>
      <c r="K31" s="203" t="n"/>
      <c r="L31" s="203" t="n"/>
      <c r="M31" s="203" t="n"/>
      <c r="N31" s="203" t="n"/>
      <c r="O31">
        <f>IF(A31="","",SUBSTITUTE(A31," ",""))</f>
        <v/>
      </c>
      <c r="P31">
        <f>IF(A31="","",O31&amp;"|"&amp;COUNTIF($O$2:O31,O31))</f>
        <v/>
      </c>
    </row>
    <row r="32" ht="13.5" customHeight="1" s="127">
      <c r="A32" s="119" t="inlineStr">
        <is>
          <t xml:space="preserve">      이    자   수   익</t>
        </is>
      </c>
      <c r="B32" s="202" t="n">
        <v>107412653</v>
      </c>
      <c r="C32" s="202" t="n">
        <v>3390</v>
      </c>
      <c r="D32" s="202" t="n">
        <v>3275</v>
      </c>
      <c r="E32" s="202" t="n">
        <v>7172802</v>
      </c>
      <c r="F32" s="202" t="n">
        <v>47446400</v>
      </c>
      <c r="G32" s="202" t="n">
        <v>3777023</v>
      </c>
      <c r="H32" s="202" t="n">
        <v>8019475</v>
      </c>
      <c r="I32" s="203" t="n">
        <v>40990288</v>
      </c>
      <c r="J32" s="203" t="n"/>
      <c r="K32" s="203" t="n"/>
      <c r="L32" s="203" t="n"/>
      <c r="M32" s="203" t="n"/>
      <c r="N32" s="203" t="n"/>
      <c r="O32">
        <f>IF(A32="","",SUBSTITUTE(A32," ",""))</f>
        <v/>
      </c>
      <c r="P32">
        <f>IF(A32="","",O32&amp;"|"&amp;COUNTIF($O$2:O32,O32))</f>
        <v/>
      </c>
    </row>
    <row r="33" ht="13.5" customHeight="1" s="127">
      <c r="A33" s="119" t="inlineStr">
        <is>
          <t xml:space="preserve">      유형자산 처분 이익</t>
        </is>
      </c>
      <c r="B33" s="202" t="n">
        <v>726273</v>
      </c>
      <c r="C33" s="202" t="n">
        <v>0</v>
      </c>
      <c r="D33" s="202" t="n">
        <v>0</v>
      </c>
      <c r="E33" s="202" t="n">
        <v>0</v>
      </c>
      <c r="F33" s="202" t="n">
        <v>0</v>
      </c>
      <c r="G33" s="202" t="n">
        <v>726273</v>
      </c>
      <c r="H33" s="202" t="n">
        <v>0</v>
      </c>
      <c r="I33" s="203" t="n">
        <v>0</v>
      </c>
      <c r="J33" s="203" t="n"/>
      <c r="K33" s="203" t="n"/>
      <c r="L33" s="203" t="n"/>
      <c r="M33" s="203" t="n"/>
      <c r="N33" s="203" t="n"/>
      <c r="O33">
        <f>IF(A33="","",SUBSTITUTE(A33," ",""))</f>
        <v/>
      </c>
      <c r="P33">
        <f>IF(A33="","",O33&amp;"|"&amp;COUNTIF($O$2:O33,O33))</f>
        <v/>
      </c>
    </row>
    <row r="34" ht="13.5" customHeight="1" s="127">
      <c r="A34" s="119" t="inlineStr">
        <is>
          <t xml:space="preserve">      잡      이      익</t>
        </is>
      </c>
      <c r="B34" s="202" t="n">
        <v>2714995</v>
      </c>
      <c r="C34" s="202" t="n">
        <v>179788</v>
      </c>
      <c r="D34" s="202" t="n">
        <v>792</v>
      </c>
      <c r="E34" s="202" t="n">
        <v>538802</v>
      </c>
      <c r="F34" s="202" t="n">
        <v>1172004</v>
      </c>
      <c r="G34" s="202" t="n">
        <v>457296</v>
      </c>
      <c r="H34" s="202" t="n">
        <v>276801</v>
      </c>
      <c r="I34" s="203" t="n">
        <v>89512</v>
      </c>
      <c r="J34" s="203" t="n"/>
      <c r="K34" s="203" t="n"/>
      <c r="L34" s="203" t="n"/>
      <c r="M34" s="203" t="n"/>
      <c r="N34" s="203" t="n"/>
      <c r="O34">
        <f>IF(A34="","",SUBSTITUTE(A34," ",""))</f>
        <v/>
      </c>
      <c r="P34">
        <f>IF(A34="","",O34&amp;"|"&amp;COUNTIF($O$2:O34,O34))</f>
        <v/>
      </c>
    </row>
    <row r="35" ht="13.5" customHeight="1" s="127">
      <c r="A35" s="121" t="inlineStr">
        <is>
          <t>Ⅶ  . 영  업  외  비  용</t>
        </is>
      </c>
      <c r="B35" s="202" t="n">
        <v>40033270</v>
      </c>
      <c r="C35" s="202" t="n">
        <v>2266</v>
      </c>
      <c r="D35" s="202" t="n">
        <v>70000</v>
      </c>
      <c r="E35" s="202" t="n">
        <v>115888</v>
      </c>
      <c r="F35" s="202" t="n">
        <v>32628834</v>
      </c>
      <c r="G35" s="202" t="n">
        <v>32000</v>
      </c>
      <c r="H35" s="202" t="n">
        <v>0</v>
      </c>
      <c r="I35" s="203" t="n">
        <v>7184282</v>
      </c>
      <c r="J35" s="203" t="n"/>
      <c r="K35" s="203" t="n"/>
      <c r="L35" s="203" t="n"/>
      <c r="M35" s="203" t="n"/>
      <c r="N35" s="203" t="n"/>
      <c r="O35">
        <f>IF(A35="","",SUBSTITUTE(A35," ",""))</f>
        <v/>
      </c>
      <c r="P35">
        <f>IF(A35="","",O35&amp;"|"&amp;COUNTIF($O$2:O35,O35))</f>
        <v/>
      </c>
    </row>
    <row r="36" ht="13.5" customHeight="1" s="127">
      <c r="A36" s="119" t="inlineStr">
        <is>
          <t xml:space="preserve">      외   환    차   손</t>
        </is>
      </c>
      <c r="B36" s="202" t="n">
        <v>1282550</v>
      </c>
      <c r="C36" s="202" t="n">
        <v>2266</v>
      </c>
      <c r="D36" s="202" t="n">
        <v>0</v>
      </c>
      <c r="E36" s="202" t="n">
        <v>3888</v>
      </c>
      <c r="F36" s="202" t="n">
        <v>1270854</v>
      </c>
      <c r="G36" s="202" t="n">
        <v>0</v>
      </c>
      <c r="H36" s="202" t="n">
        <v>0</v>
      </c>
      <c r="I36" s="203" t="n">
        <v>5542</v>
      </c>
      <c r="J36" s="203" t="n"/>
      <c r="K36" s="203" t="n"/>
      <c r="L36" s="203" t="n"/>
      <c r="M36" s="203" t="n"/>
      <c r="N36" s="203" t="n"/>
      <c r="O36">
        <f>IF(A36="","",SUBSTITUTE(A36," ",""))</f>
        <v/>
      </c>
      <c r="P36">
        <f>IF(A36="","",O36&amp;"|"&amp;COUNTIF($O$2:O36,O36))</f>
        <v/>
      </c>
    </row>
    <row r="37" ht="13.5" customHeight="1" s="127">
      <c r="A37" s="119" t="inlineStr">
        <is>
          <t xml:space="preserve">      잡      손      실</t>
        </is>
      </c>
      <c r="B37" s="202" t="n">
        <v>214000</v>
      </c>
      <c r="C37" s="202" t="n">
        <v>0</v>
      </c>
      <c r="D37" s="202" t="n">
        <v>70000</v>
      </c>
      <c r="E37" s="202" t="n">
        <v>112000</v>
      </c>
      <c r="F37" s="202" t="n">
        <v>0</v>
      </c>
      <c r="G37" s="202" t="n">
        <v>32000</v>
      </c>
      <c r="H37" s="202" t="n">
        <v>0</v>
      </c>
      <c r="I37" s="203" t="n">
        <v>0</v>
      </c>
      <c r="J37" s="203" t="n"/>
      <c r="K37" s="203" t="n"/>
      <c r="L37" s="203" t="n"/>
      <c r="M37" s="203" t="n"/>
      <c r="N37" s="203" t="n"/>
      <c r="O37">
        <f>IF(A37="","",SUBSTITUTE(A37," ",""))</f>
        <v/>
      </c>
      <c r="P37">
        <f>IF(A37="","",O37&amp;"|"&amp;COUNTIF($O$2:O37,O37))</f>
        <v/>
      </c>
    </row>
    <row r="38" ht="13.5" customHeight="1" s="127">
      <c r="A38" s="119" t="inlineStr">
        <is>
          <t xml:space="preserve">      법 인 세  추 납 액</t>
        </is>
      </c>
      <c r="B38" s="202" t="n">
        <v>38536720</v>
      </c>
      <c r="C38" s="202" t="n">
        <v>0</v>
      </c>
      <c r="D38" s="202" t="n">
        <v>0</v>
      </c>
      <c r="E38" s="202" t="n">
        <v>0</v>
      </c>
      <c r="F38" s="202" t="n">
        <v>31357980</v>
      </c>
      <c r="G38" s="202" t="n">
        <v>0</v>
      </c>
      <c r="H38" s="202" t="n">
        <v>0</v>
      </c>
      <c r="I38" s="203" t="n">
        <v>7178740</v>
      </c>
      <c r="J38" s="203" t="n"/>
      <c r="K38" s="203" t="n"/>
      <c r="L38" s="203" t="n"/>
      <c r="M38" s="203" t="n"/>
      <c r="N38" s="203" t="n"/>
      <c r="O38">
        <f>IF(A38="","",SUBSTITUTE(A38," ",""))</f>
        <v/>
      </c>
      <c r="P38">
        <f>IF(A38="","",O38&amp;"|"&amp;COUNTIF($O$2:O38,O38))</f>
        <v/>
      </c>
    </row>
    <row r="39" ht="13.5" customHeight="1" s="127">
      <c r="A39" s="121" t="inlineStr">
        <is>
          <t>Ⅷ  . 법인세비용차감전순이익</t>
        </is>
      </c>
      <c r="B39" s="202" t="n">
        <v>1344793079</v>
      </c>
      <c r="C39" s="202" t="n">
        <v>40922828</v>
      </c>
      <c r="D39" s="202" t="n">
        <v>148583799</v>
      </c>
      <c r="E39" s="202" t="n">
        <v>230331161</v>
      </c>
      <c r="F39" s="202" t="n">
        <v>281588793</v>
      </c>
      <c r="G39" s="202" t="n">
        <v>229375083</v>
      </c>
      <c r="H39" s="202" t="n">
        <v>213344847</v>
      </c>
      <c r="I39" s="203" t="n">
        <v>200646568</v>
      </c>
      <c r="J39" s="203" t="n"/>
      <c r="K39" s="203" t="n"/>
      <c r="L39" s="203" t="n"/>
      <c r="M39" s="203" t="n"/>
      <c r="N39" s="203" t="n"/>
      <c r="O39">
        <f>IF(A39="","",SUBSTITUTE(A39," ",""))</f>
        <v/>
      </c>
      <c r="P39">
        <f>IF(A39="","",O39&amp;"|"&amp;COUNTIF($O$2:O39,O39))</f>
        <v/>
      </c>
    </row>
    <row r="40" ht="13.5" customHeight="1" s="127">
      <c r="A40" s="121" t="inlineStr">
        <is>
          <t>Ⅸ  . 법  인  세  비  용</t>
        </is>
      </c>
      <c r="B40" s="202" t="n">
        <v>0</v>
      </c>
      <c r="C40" s="202" t="n">
        <v>0</v>
      </c>
      <c r="D40" s="202" t="n">
        <v>0</v>
      </c>
      <c r="E40" s="202" t="n">
        <v>0</v>
      </c>
      <c r="F40" s="202" t="n">
        <v>0</v>
      </c>
      <c r="G40" s="202" t="n">
        <v>0</v>
      </c>
      <c r="H40" s="202" t="n">
        <v>0</v>
      </c>
      <c r="I40" s="203" t="n">
        <v>0</v>
      </c>
      <c r="J40" s="203" t="n"/>
      <c r="K40" s="203" t="n"/>
      <c r="L40" s="203" t="n"/>
      <c r="M40" s="203" t="n"/>
      <c r="N40" s="203" t="n"/>
      <c r="O40">
        <f>IF(A40="","",SUBSTITUTE(A40," ",""))</f>
        <v/>
      </c>
      <c r="P40">
        <f>IF(A40="","",O40&amp;"|"&amp;COUNTIF($O$2:O40,O40))</f>
        <v/>
      </c>
    </row>
    <row r="41" ht="13.5" customHeight="1" s="127">
      <c r="A41" s="121" t="inlineStr">
        <is>
          <t>Ⅹ  . 당  기  순  이  익</t>
        </is>
      </c>
      <c r="B41" s="202" t="n">
        <v>1344793079</v>
      </c>
      <c r="C41" s="202" t="n">
        <v>40922828</v>
      </c>
      <c r="D41" s="202" t="n">
        <v>148583799</v>
      </c>
      <c r="E41" s="202" t="n">
        <v>230331161</v>
      </c>
      <c r="F41" s="202" t="n">
        <v>281588793</v>
      </c>
      <c r="G41" s="202" t="n">
        <v>229375083</v>
      </c>
      <c r="H41" s="202" t="n">
        <v>213344847</v>
      </c>
      <c r="I41" s="203" t="n">
        <v>200646568</v>
      </c>
      <c r="J41" s="203" t="n"/>
      <c r="K41" s="203" t="n"/>
      <c r="L41" s="203" t="n"/>
      <c r="M41" s="203" t="n"/>
      <c r="N41" s="203" t="n"/>
      <c r="O41">
        <f>IF(A41="","",SUBSTITUTE(A41," ",""))</f>
        <v/>
      </c>
      <c r="P41">
        <f>IF(A41="","",O41&amp;"|"&amp;COUNTIF($O$2:O41,O41))</f>
        <v/>
      </c>
    </row>
    <row r="42" ht="11.25" customHeight="1" s="127"/>
    <row r="43" ht="11.25" customHeight="1" s="127"/>
    <row r="44" ht="11.25" customHeight="1" s="127"/>
    <row r="45" ht="11.25" customHeight="1" s="127"/>
    <row r="46" ht="11.25" customHeight="1" s="127"/>
    <row r="47" ht="11.25" customHeight="1" s="127"/>
    <row r="48" ht="11.25" customHeight="1" s="127"/>
    <row r="49" ht="11.25" customHeight="1" s="127"/>
    <row r="50" ht="11.25" customHeight="1" s="127"/>
    <row r="51" ht="11.25" customHeight="1" s="127"/>
    <row r="52" ht="11.25" customHeight="1" s="127"/>
    <row r="53" ht="11.25" customHeight="1" s="127"/>
    <row r="54" ht="11.25" customHeight="1" s="127"/>
    <row r="55" ht="11.25" customHeight="1" s="127"/>
    <row r="56" ht="11.25" customHeight="1" s="127"/>
    <row r="57" ht="11.25" customHeight="1" s="127"/>
    <row r="58" ht="11.25" customHeight="1" s="127"/>
    <row r="59" ht="11.25" customHeight="1" s="127"/>
    <row r="60" ht="11.25" customHeight="1" s="127"/>
    <row r="61" ht="11.25" customHeight="1" s="127"/>
    <row r="62" ht="11.25" customHeight="1" s="127"/>
    <row r="63" ht="11.25" customHeight="1" s="127"/>
    <row r="64" ht="11.25" customHeight="1" s="127"/>
    <row r="65" ht="11.25" customHeight="1" s="127"/>
    <row r="66" ht="11.25" customHeight="1" s="127"/>
    <row r="67" ht="11.25" customHeight="1" s="127"/>
    <row r="68" ht="11.25" customHeight="1" s="127"/>
    <row r="69" ht="11.25" customHeight="1" s="127"/>
    <row r="70" ht="11.25" customHeight="1" s="127"/>
    <row r="71" ht="11.25" customHeight="1" s="127"/>
    <row r="72" ht="11.25" customHeight="1" s="127"/>
    <row r="73" ht="11.25" customHeight="1" s="127"/>
    <row r="74" ht="11.25" customHeight="1" s="127"/>
    <row r="75" ht="11.25" customHeight="1" s="127"/>
    <row r="76" ht="11.25" customHeight="1" s="127"/>
    <row r="77" ht="11.25" customHeight="1" s="127"/>
    <row r="78" ht="11.25" customHeight="1" s="127"/>
    <row r="79" ht="11.25" customHeight="1" s="127"/>
    <row r="80" ht="11.25" customHeight="1" s="127"/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5"/>
  <sheetViews>
    <sheetView zoomScaleNormal="100" workbookViewId="0">
      <selection activeCell="C14" sqref="C14"/>
    </sheetView>
  </sheetViews>
  <sheetFormatPr baseColWidth="8" defaultColWidth="15.33203125" defaultRowHeight="11.25"/>
  <cols>
    <col width="33.33203125" customWidth="1" style="127" min="1" max="1"/>
    <col width="23.33203125" customWidth="1" style="127" min="2" max="5"/>
    <col width="13" customWidth="1" style="127" min="6" max="7"/>
    <col width="33.33203125" customWidth="1" style="127" min="257" max="257"/>
    <col width="23.33203125" customWidth="1" style="127" min="258" max="261"/>
    <col width="33.33203125" customWidth="1" style="127" min="513" max="513"/>
    <col width="23.33203125" customWidth="1" style="127" min="514" max="517"/>
    <col width="33.33203125" customWidth="1" style="127" min="769" max="769"/>
    <col width="23.33203125" customWidth="1" style="127" min="770" max="773"/>
    <col width="33.33203125" customWidth="1" style="127" min="1025" max="1025"/>
    <col width="23.33203125" customWidth="1" style="127" min="1026" max="1029"/>
    <col width="33.33203125" customWidth="1" style="127" min="1281" max="1281"/>
    <col width="23.33203125" customWidth="1" style="127" min="1282" max="1285"/>
    <col width="33.33203125" customWidth="1" style="127" min="1537" max="1537"/>
    <col width="23.33203125" customWidth="1" style="127" min="1538" max="1541"/>
    <col width="33.33203125" customWidth="1" style="127" min="1793" max="1793"/>
    <col width="23.33203125" customWidth="1" style="127" min="1794" max="1797"/>
    <col width="33.33203125" customWidth="1" style="127" min="2049" max="2049"/>
    <col width="23.33203125" customWidth="1" style="127" min="2050" max="2053"/>
    <col width="33.33203125" customWidth="1" style="127" min="2305" max="2305"/>
    <col width="23.33203125" customWidth="1" style="127" min="2306" max="2309"/>
    <col width="33.33203125" customWidth="1" style="127" min="2561" max="2561"/>
    <col width="23.33203125" customWidth="1" style="127" min="2562" max="2565"/>
    <col width="33.33203125" customWidth="1" style="127" min="2817" max="2817"/>
    <col width="23.33203125" customWidth="1" style="127" min="2818" max="2821"/>
    <col width="33.33203125" customWidth="1" style="127" min="3073" max="3073"/>
    <col width="23.33203125" customWidth="1" style="127" min="3074" max="3077"/>
    <col width="33.33203125" customWidth="1" style="127" min="3329" max="3329"/>
    <col width="23.33203125" customWidth="1" style="127" min="3330" max="3333"/>
    <col width="33.33203125" customWidth="1" style="127" min="3585" max="3585"/>
    <col width="23.33203125" customWidth="1" style="127" min="3586" max="3589"/>
    <col width="33.33203125" customWidth="1" style="127" min="3841" max="3841"/>
    <col width="23.33203125" customWidth="1" style="127" min="3842" max="3845"/>
    <col width="33.33203125" customWidth="1" style="127" min="4097" max="4097"/>
    <col width="23.33203125" customWidth="1" style="127" min="4098" max="4101"/>
    <col width="33.33203125" customWidth="1" style="127" min="4353" max="4353"/>
    <col width="23.33203125" customWidth="1" style="127" min="4354" max="4357"/>
    <col width="33.33203125" customWidth="1" style="127" min="4609" max="4609"/>
    <col width="23.33203125" customWidth="1" style="127" min="4610" max="4613"/>
    <col width="33.33203125" customWidth="1" style="127" min="4865" max="4865"/>
    <col width="23.33203125" customWidth="1" style="127" min="4866" max="4869"/>
    <col width="33.33203125" customWidth="1" style="127" min="5121" max="5121"/>
    <col width="23.33203125" customWidth="1" style="127" min="5122" max="5125"/>
    <col width="33.33203125" customWidth="1" style="127" min="5377" max="5377"/>
    <col width="23.33203125" customWidth="1" style="127" min="5378" max="5381"/>
    <col width="33.33203125" customWidth="1" style="127" min="5633" max="5633"/>
    <col width="23.33203125" customWidth="1" style="127" min="5634" max="5637"/>
    <col width="33.33203125" customWidth="1" style="127" min="5889" max="5889"/>
    <col width="23.33203125" customWidth="1" style="127" min="5890" max="5893"/>
    <col width="33.33203125" customWidth="1" style="127" min="6145" max="6145"/>
    <col width="23.33203125" customWidth="1" style="127" min="6146" max="6149"/>
    <col width="33.33203125" customWidth="1" style="127" min="6401" max="6401"/>
    <col width="23.33203125" customWidth="1" style="127" min="6402" max="6405"/>
    <col width="33.33203125" customWidth="1" style="127" min="6657" max="6657"/>
    <col width="23.33203125" customWidth="1" style="127" min="6658" max="6661"/>
    <col width="33.33203125" customWidth="1" style="127" min="6913" max="6913"/>
    <col width="23.33203125" customWidth="1" style="127" min="6914" max="6917"/>
    <col width="33.33203125" customWidth="1" style="127" min="7169" max="7169"/>
    <col width="23.33203125" customWidth="1" style="127" min="7170" max="7173"/>
    <col width="33.33203125" customWidth="1" style="127" min="7425" max="7425"/>
    <col width="23.33203125" customWidth="1" style="127" min="7426" max="7429"/>
    <col width="33.33203125" customWidth="1" style="127" min="7681" max="7681"/>
    <col width="23.33203125" customWidth="1" style="127" min="7682" max="7685"/>
    <col width="33.33203125" customWidth="1" style="127" min="7937" max="7937"/>
    <col width="23.33203125" customWidth="1" style="127" min="7938" max="7941"/>
    <col width="33.33203125" customWidth="1" style="127" min="8193" max="8193"/>
    <col width="23.33203125" customWidth="1" style="127" min="8194" max="8197"/>
    <col width="33.33203125" customWidth="1" style="127" min="8449" max="8449"/>
    <col width="23.33203125" customWidth="1" style="127" min="8450" max="8453"/>
    <col width="33.33203125" customWidth="1" style="127" min="8705" max="8705"/>
    <col width="23.33203125" customWidth="1" style="127" min="8706" max="8709"/>
    <col width="33.33203125" customWidth="1" style="127" min="8961" max="8961"/>
    <col width="23.33203125" customWidth="1" style="127" min="8962" max="8965"/>
    <col width="33.33203125" customWidth="1" style="127" min="9217" max="9217"/>
    <col width="23.33203125" customWidth="1" style="127" min="9218" max="9221"/>
    <col width="33.33203125" customWidth="1" style="127" min="9473" max="9473"/>
    <col width="23.33203125" customWidth="1" style="127" min="9474" max="9477"/>
    <col width="33.33203125" customWidth="1" style="127" min="9729" max="9729"/>
    <col width="23.33203125" customWidth="1" style="127" min="9730" max="9733"/>
    <col width="33.33203125" customWidth="1" style="127" min="9985" max="9985"/>
    <col width="23.33203125" customWidth="1" style="127" min="9986" max="9989"/>
    <col width="33.33203125" customWidth="1" style="127" min="10241" max="10241"/>
    <col width="23.33203125" customWidth="1" style="127" min="10242" max="10245"/>
    <col width="33.33203125" customWidth="1" style="127" min="10497" max="10497"/>
    <col width="23.33203125" customWidth="1" style="127" min="10498" max="10501"/>
    <col width="33.33203125" customWidth="1" style="127" min="10753" max="10753"/>
    <col width="23.33203125" customWidth="1" style="127" min="10754" max="10757"/>
    <col width="33.33203125" customWidth="1" style="127" min="11009" max="11009"/>
    <col width="23.33203125" customWidth="1" style="127" min="11010" max="11013"/>
    <col width="33.33203125" customWidth="1" style="127" min="11265" max="11265"/>
    <col width="23.33203125" customWidth="1" style="127" min="11266" max="11269"/>
    <col width="33.33203125" customWidth="1" style="127" min="11521" max="11521"/>
    <col width="23.33203125" customWidth="1" style="127" min="11522" max="11525"/>
    <col width="33.33203125" customWidth="1" style="127" min="11777" max="11777"/>
    <col width="23.33203125" customWidth="1" style="127" min="11778" max="11781"/>
    <col width="33.33203125" customWidth="1" style="127" min="12033" max="12033"/>
    <col width="23.33203125" customWidth="1" style="127" min="12034" max="12037"/>
    <col width="33.33203125" customWidth="1" style="127" min="12289" max="12289"/>
    <col width="23.33203125" customWidth="1" style="127" min="12290" max="12293"/>
    <col width="33.33203125" customWidth="1" style="127" min="12545" max="12545"/>
    <col width="23.33203125" customWidth="1" style="127" min="12546" max="12549"/>
    <col width="33.33203125" customWidth="1" style="127" min="12801" max="12801"/>
    <col width="23.33203125" customWidth="1" style="127" min="12802" max="12805"/>
    <col width="33.33203125" customWidth="1" style="127" min="13057" max="13057"/>
    <col width="23.33203125" customWidth="1" style="127" min="13058" max="13061"/>
    <col width="33.33203125" customWidth="1" style="127" min="13313" max="13313"/>
    <col width="23.33203125" customWidth="1" style="127" min="13314" max="13317"/>
    <col width="33.33203125" customWidth="1" style="127" min="13569" max="13569"/>
    <col width="23.33203125" customWidth="1" style="127" min="13570" max="13573"/>
    <col width="33.33203125" customWidth="1" style="127" min="13825" max="13825"/>
    <col width="23.33203125" customWidth="1" style="127" min="13826" max="13829"/>
    <col width="33.33203125" customWidth="1" style="127" min="14081" max="14081"/>
    <col width="23.33203125" customWidth="1" style="127" min="14082" max="14085"/>
    <col width="33.33203125" customWidth="1" style="127" min="14337" max="14337"/>
    <col width="23.33203125" customWidth="1" style="127" min="14338" max="14341"/>
    <col width="33.33203125" customWidth="1" style="127" min="14593" max="14593"/>
    <col width="23.33203125" customWidth="1" style="127" min="14594" max="14597"/>
    <col width="33.33203125" customWidth="1" style="127" min="14849" max="14849"/>
    <col width="23.33203125" customWidth="1" style="127" min="14850" max="14853"/>
    <col width="33.33203125" customWidth="1" style="127" min="15105" max="15105"/>
    <col width="23.33203125" customWidth="1" style="127" min="15106" max="15109"/>
    <col width="33.33203125" customWidth="1" style="127" min="15361" max="15361"/>
    <col width="23.33203125" customWidth="1" style="127" min="15362" max="15365"/>
    <col width="33.33203125" customWidth="1" style="127" min="15617" max="15617"/>
    <col width="23.33203125" customWidth="1" style="127" min="15618" max="15621"/>
    <col width="33.33203125" customWidth="1" style="127" min="15873" max="15873"/>
    <col width="23.33203125" customWidth="1" style="127" min="15874" max="15877"/>
    <col width="33.33203125" customWidth="1" style="127" min="16129" max="16129"/>
    <col width="23.33203125" customWidth="1" style="127" min="16130" max="16133"/>
  </cols>
  <sheetData>
    <row r="1" ht="18.75" customHeight="1" s="127">
      <c r="A1" s="159" t="inlineStr">
        <is>
          <t>과  목</t>
        </is>
      </c>
      <c r="B1" s="159" t="inlineStr">
        <is>
          <t>제 35 (당)기</t>
        </is>
      </c>
      <c r="C1" s="160" t="n"/>
      <c r="D1" s="159" t="inlineStr">
        <is>
          <t>제 34 (전)기</t>
        </is>
      </c>
      <c r="E1" s="160" t="n"/>
    </row>
    <row r="2" ht="18.75" customHeight="1" s="127">
      <c r="A2" s="162" t="n"/>
      <c r="B2" s="159" t="inlineStr">
        <is>
          <t>금    액</t>
        </is>
      </c>
      <c r="C2" s="160" t="n"/>
      <c r="D2" s="159" t="inlineStr">
        <is>
          <t>금   액</t>
        </is>
      </c>
      <c r="E2" s="160" t="n"/>
    </row>
    <row r="3" ht="13.5" customHeight="1" s="127">
      <c r="A3" s="121" t="inlineStr">
        <is>
          <t>Ⅰ  . 매      출      액</t>
        </is>
      </c>
      <c r="B3" s="202" t="n">
        <v>0</v>
      </c>
      <c r="C3" s="202" t="n">
        <v>21519965336</v>
      </c>
      <c r="D3" s="202" t="n">
        <v>0</v>
      </c>
      <c r="E3" s="202" t="n">
        <v>35759715334</v>
      </c>
      <c r="F3">
        <f>IF(A3="","",SUBSTITUTE(A3," ",""))</f>
        <v/>
      </c>
      <c r="G3">
        <f>IF(A3="","",F3&amp;"|"&amp;COUNTIF($F$3:F3,F3))</f>
        <v/>
      </c>
    </row>
    <row r="4" ht="13.5" customHeight="1" s="127">
      <c r="A4" s="119" t="inlineStr">
        <is>
          <t xml:space="preserve">      상    품   매   출</t>
        </is>
      </c>
      <c r="B4" s="202" t="n">
        <v>21466362478</v>
      </c>
      <c r="C4" s="202" t="n">
        <v>0</v>
      </c>
      <c r="D4" s="202" t="n">
        <v>35616332337</v>
      </c>
      <c r="E4" s="202" t="n">
        <v>0</v>
      </c>
      <c r="F4">
        <f>IF(A4="","",SUBSTITUTE(A4," ",""))</f>
        <v/>
      </c>
      <c r="G4">
        <f>IF(A4="","",F4&amp;"|"&amp;COUNTIF($F$3:F4,F4))</f>
        <v/>
      </c>
    </row>
    <row r="5" ht="13.5" customHeight="1" s="127">
      <c r="A5" s="119" t="inlineStr">
        <is>
          <t xml:space="preserve">      상 품  수 출 매 출</t>
        </is>
      </c>
      <c r="B5" s="202" t="n">
        <v>53602858</v>
      </c>
      <c r="C5" s="202" t="n">
        <v>0</v>
      </c>
      <c r="D5" s="202" t="n">
        <v>143382997</v>
      </c>
      <c r="E5" s="202" t="n">
        <v>0</v>
      </c>
      <c r="F5">
        <f>IF(A5="","",SUBSTITUTE(A5," ",""))</f>
        <v/>
      </c>
      <c r="G5">
        <f>IF(A5="","",F5&amp;"|"&amp;COUNTIF($F$3:F5,F5))</f>
        <v/>
      </c>
    </row>
    <row r="6" ht="13.5" customHeight="1" s="127">
      <c r="A6" s="121" t="inlineStr">
        <is>
          <t>Ⅱ  . 매    출   원   가</t>
        </is>
      </c>
      <c r="B6" s="202" t="n">
        <v>0</v>
      </c>
      <c r="C6" s="202" t="n">
        <v>17650813148</v>
      </c>
      <c r="D6" s="202" t="n">
        <v>0</v>
      </c>
      <c r="E6" s="202" t="n">
        <v>29846027632</v>
      </c>
      <c r="F6">
        <f>IF(A6="","",SUBSTITUTE(A6," ",""))</f>
        <v/>
      </c>
      <c r="G6">
        <f>IF(A6="","",F6&amp;"|"&amp;COUNTIF($F$3:F6,F6))</f>
        <v/>
      </c>
    </row>
    <row r="7" ht="13.5" customHeight="1" s="127">
      <c r="A7" s="119" t="inlineStr">
        <is>
          <t xml:space="preserve">      상 품 매 출  원 가</t>
        </is>
      </c>
      <c r="B7" s="202" t="n">
        <v>0</v>
      </c>
      <c r="C7" s="202" t="n">
        <v>17650813148</v>
      </c>
      <c r="D7" s="202" t="n">
        <v>0</v>
      </c>
      <c r="E7" s="202" t="n">
        <v>29846027632</v>
      </c>
      <c r="F7">
        <f>IF(A7="","",SUBSTITUTE(A7," ",""))</f>
        <v/>
      </c>
      <c r="G7">
        <f>IF(A7="","",F7&amp;"|"&amp;COUNTIF($F$3:F7,F7))</f>
        <v/>
      </c>
    </row>
    <row r="8" ht="13.5" customHeight="1" s="127">
      <c r="A8" s="119" t="inlineStr">
        <is>
          <t xml:space="preserve">        기초  상품  재고액</t>
        </is>
      </c>
      <c r="B8" s="202" t="n">
        <v>2126111102</v>
      </c>
      <c r="C8" s="202" t="n">
        <v>0</v>
      </c>
      <c r="D8" s="202" t="n">
        <v>2098835763</v>
      </c>
      <c r="E8" s="202" t="n">
        <v>0</v>
      </c>
      <c r="F8">
        <f>IF(A8="","",SUBSTITUTE(A8," ",""))</f>
        <v/>
      </c>
      <c r="G8">
        <f>IF(A8="","",F8&amp;"|"&amp;COUNTIF($F$3:F8,F8))</f>
        <v/>
      </c>
    </row>
    <row r="9" ht="13.5" customHeight="1" s="127">
      <c r="A9" s="119" t="inlineStr">
        <is>
          <t xml:space="preserve">        당기 상품 매 입 액</t>
        </is>
      </c>
      <c r="B9" s="202" t="n">
        <v>18479894308</v>
      </c>
      <c r="C9" s="202" t="n">
        <v>0</v>
      </c>
      <c r="D9" s="202" t="n">
        <v>30036303143</v>
      </c>
      <c r="E9" s="202" t="n">
        <v>0</v>
      </c>
      <c r="F9">
        <f>IF(A9="","",SUBSTITUTE(A9," ",""))</f>
        <v/>
      </c>
      <c r="G9">
        <f>IF(A9="","",F9&amp;"|"&amp;COUNTIF($F$3:F9,F9))</f>
        <v/>
      </c>
    </row>
    <row r="10" ht="13.5" customHeight="1" s="127">
      <c r="A10" s="119" t="inlineStr">
        <is>
          <t xml:space="preserve">        매   입   할    인</t>
        </is>
      </c>
      <c r="B10" s="202" t="n">
        <v>91576826</v>
      </c>
      <c r="C10" s="202" t="n">
        <v>0</v>
      </c>
      <c r="D10" s="202" t="n">
        <v>163000172</v>
      </c>
      <c r="E10" s="202" t="n">
        <v>0</v>
      </c>
      <c r="F10">
        <f>IF(A10="","",SUBSTITUTE(A10," ",""))</f>
        <v/>
      </c>
      <c r="G10">
        <f>IF(A10="","",F10&amp;"|"&amp;COUNTIF($F$3:F10,F10))</f>
        <v/>
      </c>
    </row>
    <row r="11" ht="13.5" customHeight="1" s="127">
      <c r="A11" s="119" t="inlineStr">
        <is>
          <t xml:space="preserve">        기말  상품  재고액</t>
        </is>
      </c>
      <c r="B11" s="202" t="n">
        <v>2863615436</v>
      </c>
      <c r="C11" s="202" t="n">
        <v>0</v>
      </c>
      <c r="D11" s="202" t="n">
        <v>2126111102</v>
      </c>
      <c r="E11" s="202" t="n">
        <v>0</v>
      </c>
      <c r="F11">
        <f>IF(A11="","",SUBSTITUTE(A11," ",""))</f>
        <v/>
      </c>
      <c r="G11">
        <f>IF(A11="","",F11&amp;"|"&amp;COUNTIF($F$3:F11,F11))</f>
        <v/>
      </c>
    </row>
    <row r="12" ht="13.5" customHeight="1" s="127">
      <c r="A12" s="121" t="inlineStr">
        <is>
          <t>Ⅲ  . 매  출  총  이  익</t>
        </is>
      </c>
      <c r="B12" s="202" t="n">
        <v>0</v>
      </c>
      <c r="C12" s="202" t="n">
        <v>3869152188</v>
      </c>
      <c r="D12" s="202" t="n">
        <v>0</v>
      </c>
      <c r="E12" s="202" t="n">
        <v>5913687702</v>
      </c>
      <c r="F12">
        <f>IF(A12="","",SUBSTITUTE(A12," ",""))</f>
        <v/>
      </c>
      <c r="G12">
        <f>IF(A12="","",F12&amp;"|"&amp;COUNTIF($F$3:F12,F12))</f>
        <v/>
      </c>
    </row>
    <row r="13" ht="13.5" customHeight="1" s="127">
      <c r="A13" s="121" t="inlineStr">
        <is>
          <t>Ⅳ  . 판  매  관  리  비</t>
        </is>
      </c>
      <c r="B13" s="202" t="n">
        <v>0</v>
      </c>
      <c r="C13" s="202" t="n">
        <v>2161095954</v>
      </c>
      <c r="D13" s="202" t="n">
        <v>0</v>
      </c>
      <c r="E13" s="202" t="n">
        <v>4291191892</v>
      </c>
      <c r="F13">
        <f>IF(A13="","",SUBSTITUTE(A13," ",""))</f>
        <v/>
      </c>
      <c r="G13">
        <f>IF(A13="","",F13&amp;"|"&amp;COUNTIF($F$3:F13,F13))</f>
        <v/>
      </c>
    </row>
    <row r="14" ht="13.5" customHeight="1" s="127">
      <c r="A14" s="119" t="inlineStr">
        <is>
          <t xml:space="preserve">      직   원    급   여</t>
        </is>
      </c>
      <c r="B14" s="202" t="n">
        <v>1229848831</v>
      </c>
      <c r="C14" s="202" t="n">
        <v>0</v>
      </c>
      <c r="D14" s="202" t="n">
        <v>2060318569</v>
      </c>
      <c r="E14" s="202" t="n">
        <v>0</v>
      </c>
      <c r="F14">
        <f>IF(A14="","",SUBSTITUTE(A14," ",""))</f>
        <v/>
      </c>
      <c r="G14">
        <f>IF(A14="","",F14&amp;"|"&amp;COUNTIF($F$3:F14,F14))</f>
        <v/>
      </c>
    </row>
    <row r="15" ht="13.5" customHeight="1" s="127">
      <c r="A15" s="119" t="inlineStr">
        <is>
          <t xml:space="preserve">      상      여      금</t>
        </is>
      </c>
      <c r="B15" s="202" t="n">
        <v>0</v>
      </c>
      <c r="C15" s="202" t="n">
        <v>0</v>
      </c>
      <c r="D15" s="202" t="n">
        <v>551800000</v>
      </c>
      <c r="E15" s="202" t="n">
        <v>0</v>
      </c>
      <c r="F15">
        <f>IF(A15="","",SUBSTITUTE(A15," ",""))</f>
        <v/>
      </c>
      <c r="G15">
        <f>IF(A15="","",F15&amp;"|"&amp;COUNTIF($F$3:F15,F15))</f>
        <v/>
      </c>
    </row>
    <row r="16" ht="13.5" customHeight="1" s="127">
      <c r="A16" s="119" t="inlineStr">
        <is>
          <t xml:space="preserve">      연   차    수   당</t>
        </is>
      </c>
      <c r="B16" s="202" t="n">
        <v>0</v>
      </c>
      <c r="C16" s="202" t="n">
        <v>0</v>
      </c>
      <c r="D16" s="202" t="n">
        <v>12096500</v>
      </c>
      <c r="E16" s="202" t="n">
        <v>0</v>
      </c>
      <c r="F16">
        <f>IF(A16="","",SUBSTITUTE(A16," ",""))</f>
        <v/>
      </c>
      <c r="G16">
        <f>IF(A16="","",F16&amp;"|"&amp;COUNTIF($F$3:F16,F16))</f>
        <v/>
      </c>
    </row>
    <row r="17" ht="13.5" customHeight="1" s="127">
      <c r="A17" s="119" t="inlineStr">
        <is>
          <t xml:space="preserve">      퇴   직    급   여</t>
        </is>
      </c>
      <c r="B17" s="202" t="n">
        <v>88091340</v>
      </c>
      <c r="C17" s="202" t="n">
        <v>0</v>
      </c>
      <c r="D17" s="202" t="n">
        <v>305951630</v>
      </c>
      <c r="E17" s="202" t="n">
        <v>0</v>
      </c>
      <c r="F17">
        <f>IF(A17="","",SUBSTITUTE(A17," ",""))</f>
        <v/>
      </c>
      <c r="G17">
        <f>IF(A17="","",F17&amp;"|"&amp;COUNTIF($F$3:F17,F17))</f>
        <v/>
      </c>
    </row>
    <row r="18" ht="13.5" customHeight="1" s="127">
      <c r="A18" s="119" t="inlineStr">
        <is>
          <t xml:space="preserve">      복  리  후  생  비</t>
        </is>
      </c>
      <c r="B18" s="202" t="n">
        <v>110546776</v>
      </c>
      <c r="C18" s="202" t="n">
        <v>0</v>
      </c>
      <c r="D18" s="202" t="n">
        <v>173366229</v>
      </c>
      <c r="E18" s="202" t="n">
        <v>0</v>
      </c>
      <c r="F18">
        <f>IF(A18="","",SUBSTITUTE(A18," ",""))</f>
        <v/>
      </c>
      <c r="G18">
        <f>IF(A18="","",F18&amp;"|"&amp;COUNTIF($F$3:F18,F18))</f>
        <v/>
      </c>
    </row>
    <row r="19" ht="13.5" customHeight="1" s="127">
      <c r="A19" s="119" t="inlineStr">
        <is>
          <t xml:space="preserve">      여  비  교  통  비</t>
        </is>
      </c>
      <c r="B19" s="202" t="n">
        <v>7859988</v>
      </c>
      <c r="C19" s="202" t="n">
        <v>0</v>
      </c>
      <c r="D19" s="202" t="n">
        <v>8300248</v>
      </c>
      <c r="E19" s="202" t="n">
        <v>0</v>
      </c>
      <c r="F19">
        <f>IF(A19="","",SUBSTITUTE(A19," ",""))</f>
        <v/>
      </c>
      <c r="G19">
        <f>IF(A19="","",F19&amp;"|"&amp;COUNTIF($F$3:F19,F19))</f>
        <v/>
      </c>
    </row>
    <row r="20" ht="13.5" customHeight="1" s="127">
      <c r="A20" s="119" t="inlineStr">
        <is>
          <t xml:space="preserve">      접      대      비</t>
        </is>
      </c>
      <c r="B20" s="202" t="n">
        <v>43323349</v>
      </c>
      <c r="C20" s="202" t="n">
        <v>0</v>
      </c>
      <c r="D20" s="202" t="n">
        <v>74924080</v>
      </c>
      <c r="E20" s="202" t="n">
        <v>0</v>
      </c>
      <c r="F20">
        <f>IF(A20="","",SUBSTITUTE(A20," ",""))</f>
        <v/>
      </c>
      <c r="G20">
        <f>IF(A20="","",F20&amp;"|"&amp;COUNTIF($F$3:F20,F20))</f>
        <v/>
      </c>
    </row>
    <row r="21" ht="13.5" customHeight="1" s="127">
      <c r="A21" s="119" t="inlineStr">
        <is>
          <t xml:space="preserve">      통      신      비</t>
        </is>
      </c>
      <c r="B21" s="202" t="n">
        <v>10884279</v>
      </c>
      <c r="C21" s="202" t="n">
        <v>0</v>
      </c>
      <c r="D21" s="202" t="n">
        <v>18692616</v>
      </c>
      <c r="E21" s="202" t="n">
        <v>0</v>
      </c>
      <c r="F21">
        <f>IF(A21="","",SUBSTITUTE(A21," ",""))</f>
        <v/>
      </c>
      <c r="G21">
        <f>IF(A21="","",F21&amp;"|"&amp;COUNTIF($F$3:F21,F21))</f>
        <v/>
      </c>
    </row>
    <row r="22" ht="13.5" customHeight="1" s="127">
      <c r="A22" s="119" t="inlineStr">
        <is>
          <t xml:space="preserve">      수  도  광  열  비</t>
        </is>
      </c>
      <c r="B22" s="202" t="n">
        <v>658900</v>
      </c>
      <c r="C22" s="202" t="n">
        <v>0</v>
      </c>
      <c r="D22" s="202" t="n">
        <v>1127751</v>
      </c>
      <c r="E22" s="202" t="n">
        <v>0</v>
      </c>
      <c r="F22">
        <f>IF(A22="","",SUBSTITUTE(A22," ",""))</f>
        <v/>
      </c>
      <c r="G22">
        <f>IF(A22="","",F22&amp;"|"&amp;COUNTIF($F$3:F22,F22))</f>
        <v/>
      </c>
    </row>
    <row r="23" ht="13.5" customHeight="1" s="127">
      <c r="A23" s="119" t="inlineStr">
        <is>
          <t xml:space="preserve">      전      력      비</t>
        </is>
      </c>
      <c r="B23" s="202" t="n">
        <v>9937528</v>
      </c>
      <c r="C23" s="202" t="n">
        <v>0</v>
      </c>
      <c r="D23" s="202" t="n">
        <v>15489170</v>
      </c>
      <c r="E23" s="202" t="n">
        <v>0</v>
      </c>
      <c r="F23">
        <f>IF(A23="","",SUBSTITUTE(A23," ",""))</f>
        <v/>
      </c>
      <c r="G23">
        <f>IF(A23="","",F23&amp;"|"&amp;COUNTIF($F$3:F23,F23))</f>
        <v/>
      </c>
    </row>
    <row r="24" ht="13.5" customHeight="1" s="127">
      <c r="A24" s="119" t="inlineStr">
        <is>
          <t xml:space="preserve">      세 금 과  공 과 금</t>
        </is>
      </c>
      <c r="B24" s="202" t="n">
        <v>61818760</v>
      </c>
      <c r="C24" s="202" t="n">
        <v>0</v>
      </c>
      <c r="D24" s="202" t="n">
        <v>41002240</v>
      </c>
      <c r="E24" s="202" t="n">
        <v>0</v>
      </c>
      <c r="F24">
        <f>IF(A24="","",SUBSTITUTE(A24," ",""))</f>
        <v/>
      </c>
      <c r="G24">
        <f>IF(A24="","",F24&amp;"|"&amp;COUNTIF($F$3:F24,F24))</f>
        <v/>
      </c>
    </row>
    <row r="25" ht="13.5" customHeight="1" s="127">
      <c r="A25" s="119" t="inlineStr">
        <is>
          <t xml:space="preserve">      감  가  상  각  비</t>
        </is>
      </c>
      <c r="B25" s="202" t="n">
        <v>71625807</v>
      </c>
      <c r="C25" s="202" t="n">
        <v>0</v>
      </c>
      <c r="D25" s="202" t="n">
        <v>151430376</v>
      </c>
      <c r="E25" s="202" t="n">
        <v>0</v>
      </c>
      <c r="F25">
        <f>IF(A25="","",SUBSTITUTE(A25," ",""))</f>
        <v/>
      </c>
      <c r="G25">
        <f>IF(A25="","",F25&amp;"|"&amp;COUNTIF($F$3:F25,F25))</f>
        <v/>
      </c>
    </row>
    <row r="26" ht="13.5" customHeight="1" s="127">
      <c r="A26" s="119" t="inlineStr">
        <is>
          <t xml:space="preserve">      지  급  임  차  료</t>
        </is>
      </c>
      <c r="B26" s="202" t="n">
        <v>94500000</v>
      </c>
      <c r="C26" s="202" t="n">
        <v>0</v>
      </c>
      <c r="D26" s="202" t="n">
        <v>162000000</v>
      </c>
      <c r="E26" s="202" t="n">
        <v>0</v>
      </c>
      <c r="F26">
        <f>IF(A26="","",SUBSTITUTE(A26," ",""))</f>
        <v/>
      </c>
      <c r="G26">
        <f>IF(A26="","",F26&amp;"|"&amp;COUNTIF($F$3:F26,F26))</f>
        <v/>
      </c>
    </row>
    <row r="27" ht="13.5" customHeight="1" s="127">
      <c r="A27" s="119" t="inlineStr">
        <is>
          <t xml:space="preserve">      보      험      료</t>
        </is>
      </c>
      <c r="B27" s="202" t="n">
        <v>48751589</v>
      </c>
      <c r="C27" s="202" t="n">
        <v>0</v>
      </c>
      <c r="D27" s="202" t="n">
        <v>68016202</v>
      </c>
      <c r="E27" s="202" t="n">
        <v>0</v>
      </c>
      <c r="F27">
        <f>IF(A27="","",SUBSTITUTE(A27," ",""))</f>
        <v/>
      </c>
      <c r="G27">
        <f>IF(A27="","",F27&amp;"|"&amp;COUNTIF($F$3:F27,F27))</f>
        <v/>
      </c>
    </row>
    <row r="28" ht="13.5" customHeight="1" s="127">
      <c r="A28" s="119" t="inlineStr">
        <is>
          <t xml:space="preserve">      차  량  유  지  비</t>
        </is>
      </c>
      <c r="B28" s="202" t="n">
        <v>155024259</v>
      </c>
      <c r="C28" s="202" t="n">
        <v>0</v>
      </c>
      <c r="D28" s="202" t="n">
        <v>234909756</v>
      </c>
      <c r="E28" s="202" t="n">
        <v>0</v>
      </c>
      <c r="F28">
        <f>IF(A28="","",SUBSTITUTE(A28," ",""))</f>
        <v/>
      </c>
      <c r="G28">
        <f>IF(A28="","",F28&amp;"|"&amp;COUNTIF($F$3:F28,F28))</f>
        <v/>
      </c>
    </row>
    <row r="29" ht="13.5" customHeight="1" s="127">
      <c r="A29" s="119" t="inlineStr">
        <is>
          <t xml:space="preserve">      운      반      비</t>
        </is>
      </c>
      <c r="B29" s="202" t="n">
        <v>11781419</v>
      </c>
      <c r="C29" s="202" t="n">
        <v>0</v>
      </c>
      <c r="D29" s="202" t="n">
        <v>26830863</v>
      </c>
      <c r="E29" s="202" t="n">
        <v>0</v>
      </c>
      <c r="F29">
        <f>IF(A29="","",SUBSTITUTE(A29," ",""))</f>
        <v/>
      </c>
      <c r="G29">
        <f>IF(A29="","",F29&amp;"|"&amp;COUNTIF($F$3:F29,F29))</f>
        <v/>
      </c>
    </row>
    <row r="30" ht="11.25" customHeight="1" s="127">
      <c r="A30" s="119" t="inlineStr">
        <is>
          <t xml:space="preserve">      소    모   품   비</t>
        </is>
      </c>
      <c r="B30" s="202" t="n">
        <v>18876205</v>
      </c>
      <c r="C30" s="202" t="n">
        <v>0</v>
      </c>
      <c r="D30" s="202" t="n">
        <v>16554758</v>
      </c>
      <c r="E30" s="202" t="n">
        <v>0</v>
      </c>
      <c r="F30">
        <f>IF(A30="","",SUBSTITUTE(A30," ",""))</f>
        <v/>
      </c>
      <c r="G30">
        <f>IF(A30="","",F30&amp;"|"&amp;COUNTIF($F$3:F30,F30))</f>
        <v/>
      </c>
    </row>
    <row r="31" ht="13.5" customHeight="1" s="127">
      <c r="A31" s="119" t="inlineStr">
        <is>
          <t xml:space="preserve">      지  급  수  수  료</t>
        </is>
      </c>
      <c r="B31" s="202" t="n">
        <v>196598820</v>
      </c>
      <c r="C31" s="202" t="n">
        <v>0</v>
      </c>
      <c r="D31" s="202" t="n">
        <v>292448219</v>
      </c>
      <c r="E31" s="202" t="n">
        <v>0</v>
      </c>
      <c r="F31">
        <f>IF(A31="","",SUBSTITUTE(A31," ",""))</f>
        <v/>
      </c>
      <c r="G31">
        <f>IF(A31="","",F31&amp;"|"&amp;COUNTIF($F$3:F31,F31))</f>
        <v/>
      </c>
    </row>
    <row r="32" ht="13.5" customHeight="1" s="127">
      <c r="A32" s="119" t="inlineStr">
        <is>
          <t xml:space="preserve">      대  손  상  각  비</t>
        </is>
      </c>
      <c r="B32" s="202" t="n">
        <v>0</v>
      </c>
      <c r="C32" s="202" t="n">
        <v>0</v>
      </c>
      <c r="D32" s="202" t="n">
        <v>72371897</v>
      </c>
      <c r="E32" s="202" t="n">
        <v>0</v>
      </c>
      <c r="F32">
        <f>IF(A32="","",SUBSTITUTE(A32," ",""))</f>
        <v/>
      </c>
      <c r="G32">
        <f>IF(A32="","",F32&amp;"|"&amp;COUNTIF($F$3:F32,F32))</f>
        <v/>
      </c>
    </row>
    <row r="33" ht="13.5" customHeight="1" s="127">
      <c r="A33" s="119" t="inlineStr">
        <is>
          <t xml:space="preserve">      수  출  제  비  용</t>
        </is>
      </c>
      <c r="B33" s="202" t="n">
        <v>968104</v>
      </c>
      <c r="C33" s="202" t="n">
        <v>0</v>
      </c>
      <c r="D33" s="202" t="n">
        <v>3560788</v>
      </c>
      <c r="E33" s="202" t="n">
        <v>0</v>
      </c>
      <c r="F33">
        <f>IF(A33="","",SUBSTITUTE(A33," ",""))</f>
        <v/>
      </c>
      <c r="G33">
        <f>IF(A33="","",F33&amp;"|"&amp;COUNTIF($F$3:F33,F33))</f>
        <v/>
      </c>
    </row>
    <row r="34" ht="13.5" customHeight="1" s="127">
      <c r="A34" s="119" t="inlineStr">
        <is>
          <t>Ⅴ  . 영    업   이   익</t>
        </is>
      </c>
      <c r="B34" s="202" t="n">
        <v>0</v>
      </c>
      <c r="C34" s="202" t="n">
        <v>1708056234</v>
      </c>
      <c r="D34" s="202" t="n">
        <v>0</v>
      </c>
      <c r="E34" s="202" t="n">
        <v>1622495810</v>
      </c>
      <c r="F34">
        <f>IF(A34="","",SUBSTITUTE(A34," ",""))</f>
        <v/>
      </c>
      <c r="G34">
        <f>IF(A34="","",F34&amp;"|"&amp;COUNTIF($F$3:F34,F34))</f>
        <v/>
      </c>
    </row>
    <row r="35" ht="13.5" customHeight="1" s="127">
      <c r="A35" s="121" t="inlineStr">
        <is>
          <t>Ⅵ  . 영  업  외  수  익</t>
        </is>
      </c>
      <c r="B35" s="202" t="n">
        <v>0</v>
      </c>
      <c r="C35" s="202" t="n">
        <v>145089917</v>
      </c>
      <c r="D35" s="202" t="n">
        <v>0</v>
      </c>
      <c r="E35" s="202" t="n">
        <v>213061525</v>
      </c>
      <c r="F35">
        <f>IF(A35="","",SUBSTITUTE(A35," ",""))</f>
        <v/>
      </c>
      <c r="G35">
        <f>IF(A35="","",F35&amp;"|"&amp;COUNTIF($F$3:F35,F35))</f>
        <v/>
      </c>
    </row>
    <row r="36" ht="13.5" customHeight="1" s="127">
      <c r="A36" s="122" t="inlineStr">
        <is>
          <t xml:space="preserve">      이    자   수   익</t>
        </is>
      </c>
      <c r="B36" s="202" t="n">
        <v>113934601</v>
      </c>
      <c r="C36" s="202" t="n">
        <v>0</v>
      </c>
      <c r="D36" s="202" t="n">
        <v>191956603</v>
      </c>
      <c r="E36" s="202" t="n">
        <v>0</v>
      </c>
      <c r="F36">
        <f>IF(A36="","",SUBSTITUTE(A36," ",""))</f>
        <v/>
      </c>
      <c r="G36">
        <f>IF(A36="","",F36&amp;"|"&amp;COUNTIF($F$3:F36,F36))</f>
        <v/>
      </c>
    </row>
    <row r="37" ht="13.5" customHeight="1" s="127">
      <c r="A37" s="119" t="inlineStr">
        <is>
          <t xml:space="preserve">      외    환  차    익</t>
        </is>
      </c>
      <c r="B37" s="202" t="n">
        <v>9493467</v>
      </c>
      <c r="C37" s="202" t="n">
        <v>0</v>
      </c>
      <c r="D37" s="202" t="n">
        <v>94348</v>
      </c>
      <c r="E37" s="202" t="n">
        <v>0</v>
      </c>
      <c r="F37">
        <f>IF(A37="","",SUBSTITUTE(A37," ",""))</f>
        <v/>
      </c>
      <c r="G37">
        <f>IF(A37="","",F37&amp;"|"&amp;COUNTIF($F$3:F37,F37))</f>
        <v/>
      </c>
    </row>
    <row r="38" ht="13.5" customHeight="1" s="127">
      <c r="A38" s="119" t="inlineStr">
        <is>
          <t xml:space="preserve">      유형자산 처분 이익</t>
        </is>
      </c>
      <c r="B38" s="202" t="n">
        <v>7089909</v>
      </c>
      <c r="C38" s="202" t="n">
        <v>0</v>
      </c>
      <c r="D38" s="202" t="n">
        <v>8659536</v>
      </c>
      <c r="E38" s="202" t="n">
        <v>0</v>
      </c>
      <c r="F38">
        <f>IF(A38="","",SUBSTITUTE(A38," ",""))</f>
        <v/>
      </c>
      <c r="G38">
        <f>IF(A38="","",F38&amp;"|"&amp;COUNTIF($F$3:F38,F38))</f>
        <v/>
      </c>
    </row>
    <row r="39" ht="11.25" customHeight="1" s="127">
      <c r="A39" s="119" t="inlineStr">
        <is>
          <t xml:space="preserve">      잡      이      익</t>
        </is>
      </c>
      <c r="B39" s="202" t="n">
        <v>14571940</v>
      </c>
      <c r="C39" s="202" t="n">
        <v>0</v>
      </c>
      <c r="D39" s="202" t="n">
        <v>12351038</v>
      </c>
      <c r="E39" s="202" t="n">
        <v>0</v>
      </c>
      <c r="F39">
        <f>IF(A39="","",SUBSTITUTE(A39," ",""))</f>
        <v/>
      </c>
      <c r="G39">
        <f>IF(A39="","",F39&amp;"|"&amp;COUNTIF($F$3:F39,F39))</f>
        <v/>
      </c>
    </row>
    <row r="40" ht="13.5" customHeight="1" s="127">
      <c r="A40" s="119" t="inlineStr">
        <is>
          <t>Ⅶ  . 영  업  외  비  용</t>
        </is>
      </c>
      <c r="B40" s="202" t="n">
        <v>0</v>
      </c>
      <c r="C40" s="202" t="n">
        <v>1315405</v>
      </c>
      <c r="D40" s="202" t="n">
        <v>0</v>
      </c>
      <c r="E40" s="202" t="n">
        <v>14528746</v>
      </c>
      <c r="F40">
        <f>IF(A40="","",SUBSTITUTE(A40," ",""))</f>
        <v/>
      </c>
      <c r="G40">
        <f>IF(A40="","",F40&amp;"|"&amp;COUNTIF($F$3:F40,F40))</f>
        <v/>
      </c>
    </row>
    <row r="41" ht="11.25" customHeight="1" s="127">
      <c r="A41" s="119" t="inlineStr">
        <is>
          <t xml:space="preserve">      외   환    차   손</t>
        </is>
      </c>
      <c r="B41" s="202" t="n">
        <v>1131469</v>
      </c>
      <c r="C41" s="202" t="n">
        <v>0</v>
      </c>
      <c r="D41" s="202" t="n">
        <v>1282550</v>
      </c>
      <c r="E41" s="202" t="n">
        <v>0</v>
      </c>
      <c r="F41">
        <f>IF(A41="","",SUBSTITUTE(A41," ",""))</f>
        <v/>
      </c>
      <c r="G41">
        <f>IF(A41="","",F41&amp;"|"&amp;COUNTIF($F$3:F41,F41))</f>
        <v/>
      </c>
    </row>
    <row r="42" ht="11.25" customHeight="1" s="127">
      <c r="A42" s="119" t="inlineStr">
        <is>
          <t xml:space="preserve">      외 화  환 산 손 실</t>
        </is>
      </c>
      <c r="B42" s="202" t="n">
        <v>0</v>
      </c>
      <c r="C42" s="202" t="n">
        <v>0</v>
      </c>
      <c r="D42" s="202" t="n">
        <v>12939378</v>
      </c>
      <c r="E42" s="202" t="n">
        <v>0</v>
      </c>
      <c r="F42">
        <f>IF(A42="","",SUBSTITUTE(A42," ",""))</f>
        <v/>
      </c>
      <c r="G42">
        <f>IF(A42="","",F42&amp;"|"&amp;COUNTIF($F$3:F42,F42))</f>
        <v/>
      </c>
    </row>
    <row r="43" ht="13.5" customHeight="1" s="127">
      <c r="A43" s="119" t="inlineStr">
        <is>
          <t xml:space="preserve">      유형자산  처분손실</t>
        </is>
      </c>
      <c r="B43" s="202" t="n">
        <v>2000</v>
      </c>
      <c r="C43" s="202" t="n">
        <v>0</v>
      </c>
      <c r="D43" s="202" t="n">
        <v>0</v>
      </c>
      <c r="E43" s="202" t="n">
        <v>0</v>
      </c>
      <c r="F43">
        <f>IF(A43="","",SUBSTITUTE(A43," ",""))</f>
        <v/>
      </c>
      <c r="G43">
        <f>IF(A43="","",F43&amp;"|"&amp;COUNTIF($F$3:F43,F43))</f>
        <v/>
      </c>
    </row>
    <row r="44" ht="13.5" customHeight="1" s="127">
      <c r="A44" s="122" t="inlineStr">
        <is>
          <t xml:space="preserve">      잡      손      실</t>
        </is>
      </c>
      <c r="B44" s="202" t="n">
        <v>181936</v>
      </c>
      <c r="C44" s="202" t="n">
        <v>0</v>
      </c>
      <c r="D44" s="202" t="n">
        <v>306818</v>
      </c>
      <c r="E44" s="202" t="n">
        <v>0</v>
      </c>
      <c r="F44">
        <f>IF(A44="","",SUBSTITUTE(A44," ",""))</f>
        <v/>
      </c>
      <c r="G44">
        <f>IF(A44="","",F44&amp;"|"&amp;COUNTIF($F$3:F44,F44))</f>
        <v/>
      </c>
    </row>
    <row r="45" ht="11.25" customHeight="1" s="127">
      <c r="A45" s="119" t="inlineStr">
        <is>
          <t>Ⅷ  . 법인세비용차감전순이익</t>
        </is>
      </c>
      <c r="B45" s="202" t="n">
        <v>0</v>
      </c>
      <c r="C45" s="202" t="n">
        <v>1851830746</v>
      </c>
      <c r="D45" s="202" t="n">
        <v>0</v>
      </c>
      <c r="E45" s="202" t="n">
        <v>1821028589</v>
      </c>
      <c r="F45">
        <f>IF(A45="","",SUBSTITUTE(A45," ",""))</f>
        <v/>
      </c>
      <c r="G45">
        <f>IF(A45="","",F45&amp;"|"&amp;COUNTIF($F$3:F45,F45))</f>
        <v/>
      </c>
    </row>
    <row r="46" ht="13.5" customHeight="1" s="127">
      <c r="A46" s="119" t="inlineStr">
        <is>
          <t>Ⅸ  . 법  인  세  비  용</t>
        </is>
      </c>
      <c r="B46" s="202" t="n">
        <v>0</v>
      </c>
      <c r="C46" s="202" t="n">
        <v>0</v>
      </c>
      <c r="D46" s="202" t="n">
        <v>0</v>
      </c>
      <c r="E46" s="202" t="n">
        <v>408545770</v>
      </c>
      <c r="F46">
        <f>IF(A46="","",SUBSTITUTE(A46," ",""))</f>
        <v/>
      </c>
      <c r="G46">
        <f>IF(A46="","",F46&amp;"|"&amp;COUNTIF($F$3:F46,F46))</f>
        <v/>
      </c>
    </row>
    <row r="47" ht="13.5" customHeight="1" s="127">
      <c r="A47" s="119" t="inlineStr">
        <is>
          <t xml:space="preserve">      법   인   세    등</t>
        </is>
      </c>
      <c r="B47" s="202" t="n">
        <v>0</v>
      </c>
      <c r="C47" s="202" t="n">
        <v>0</v>
      </c>
      <c r="D47" s="202" t="n">
        <v>408545770</v>
      </c>
      <c r="E47" s="202" t="n">
        <v>0</v>
      </c>
      <c r="F47">
        <f>IF(A47="","",SUBSTITUTE(A47," ",""))</f>
        <v/>
      </c>
      <c r="G47">
        <f>IF(A47="","",F47&amp;"|"&amp;COUNTIF($F$3:F47,F47))</f>
        <v/>
      </c>
    </row>
    <row r="48" ht="11.25" customHeight="1" s="127">
      <c r="A48" s="119" t="inlineStr">
        <is>
          <t>Ⅹ  . 당  기  순  이  익</t>
        </is>
      </c>
      <c r="B48" s="202" t="n">
        <v>0</v>
      </c>
      <c r="C48" s="202" t="n">
        <v>1851830746</v>
      </c>
      <c r="D48" s="202" t="n">
        <v>0</v>
      </c>
      <c r="E48" s="202" t="n">
        <v>1412482819</v>
      </c>
      <c r="F48">
        <f>IF(A48="","",SUBSTITUTE(A48," ",""))</f>
        <v/>
      </c>
      <c r="G48">
        <f>IF(A48="","",F48&amp;"|"&amp;COUNTIF($F$3:F48,F48))</f>
        <v/>
      </c>
    </row>
    <row r="49" ht="13.5" customHeight="1" s="127">
      <c r="A49" s="119" t="n"/>
      <c r="B49" s="202" t="n"/>
      <c r="C49" s="202" t="n"/>
      <c r="D49" s="202" t="n"/>
      <c r="E49" s="202" t="n"/>
    </row>
    <row r="50" ht="13.5" customHeight="1" s="127">
      <c r="A50" s="119" t="n"/>
      <c r="B50" s="202" t="n"/>
      <c r="C50" s="202" t="n"/>
      <c r="D50" s="202" t="n"/>
      <c r="E50" s="202" t="n"/>
    </row>
    <row r="51" ht="11.25" customHeight="1" s="127">
      <c r="A51" s="119" t="n"/>
      <c r="B51" s="202" t="n"/>
      <c r="C51" s="202" t="n"/>
      <c r="D51" s="202" t="n"/>
      <c r="E51" s="202" t="n"/>
    </row>
    <row r="52" ht="13.5" customHeight="1" s="127">
      <c r="A52" s="121" t="n"/>
      <c r="B52" s="202" t="n"/>
      <c r="C52" s="202" t="n"/>
      <c r="D52" s="202" t="n"/>
      <c r="E52" s="202" t="n"/>
    </row>
    <row r="53" ht="13.5" customHeight="1" s="127">
      <c r="A53" s="121" t="n"/>
      <c r="B53" s="202" t="n"/>
      <c r="C53" s="202" t="n"/>
      <c r="D53" s="202" t="n"/>
      <c r="E53" s="202" t="n"/>
    </row>
    <row r="54" ht="13.5" customHeight="1" s="127">
      <c r="A54" s="119" t="n"/>
      <c r="B54" s="202" t="n"/>
      <c r="C54" s="202" t="n"/>
      <c r="D54" s="202" t="n"/>
      <c r="E54" s="202" t="n"/>
    </row>
    <row r="55" ht="13.5" customHeight="1" s="127">
      <c r="A55" s="121" t="n"/>
      <c r="B55" s="202" t="n"/>
      <c r="C55" s="202" t="n"/>
      <c r="D55" s="202" t="n"/>
      <c r="E55" s="202" t="n"/>
    </row>
    <row r="56" ht="11.25" customHeight="1" s="127"/>
    <row r="57" ht="11.25" customHeight="1" s="127"/>
    <row r="58" ht="11.25" customHeight="1" s="127"/>
    <row r="59" ht="11.25" customHeight="1" s="127"/>
    <row r="60" ht="11.25" customHeight="1" s="127"/>
    <row r="61" ht="11.25" customHeight="1" s="127"/>
    <row r="62" ht="11.25" customHeight="1" s="127"/>
    <row r="63" ht="11.25" customHeight="1" s="127"/>
    <row r="64" ht="11.25" customHeight="1" s="127"/>
    <row r="65" ht="11.25" customHeight="1" s="127"/>
    <row r="66" ht="11.25" customHeight="1" s="127"/>
    <row r="67" ht="11.25" customHeight="1" s="127"/>
    <row r="68" ht="11.25" customHeight="1" s="127"/>
    <row r="69" ht="11.25" customHeight="1" s="127"/>
    <row r="70" ht="11.25" customHeight="1" s="127"/>
    <row r="71" ht="11.25" customHeight="1" s="127"/>
    <row r="72" ht="11.25" customHeight="1" s="127"/>
    <row r="73" ht="11.25" customHeight="1" s="127"/>
    <row r="74" ht="11.25" customHeight="1" s="127"/>
    <row r="75" ht="11.25" customHeight="1" s="127"/>
    <row r="76" ht="11.25" customHeight="1" s="127"/>
    <row r="77" ht="11.25" customHeight="1" s="127"/>
    <row r="78" ht="11.25" customHeight="1" s="127"/>
    <row r="79" ht="11.25" customHeight="1" s="127"/>
    <row r="80" ht="11.25" customHeight="1" s="127"/>
    <row r="81" ht="11.25" customHeight="1" s="127"/>
    <row r="82" ht="11.25" customHeight="1" s="127"/>
    <row r="83" ht="11.25" customHeight="1" s="127"/>
    <row r="84" ht="11.25" customHeight="1" s="127"/>
    <row r="85" ht="11.25" customHeight="1" s="127"/>
    <row r="86" ht="11.25" customHeight="1" s="127"/>
    <row r="87" ht="11.25" customHeight="1" s="127"/>
    <row r="88" ht="11.25" customHeight="1" s="127"/>
    <row r="89" ht="11.25" customHeight="1" s="127"/>
    <row r="90" ht="11.25" customHeight="1" s="127"/>
  </sheetData>
  <mergeCells count="5">
    <mergeCell ref="B2:C2"/>
    <mergeCell ref="D2:E2"/>
    <mergeCell ref="D1:E1"/>
    <mergeCell ref="B1:C1"/>
    <mergeCell ref="A1:A2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창현관리부</dc:creator>
  <dc:language xmlns:dc="http://purl.org/dc/elements/1.1/">en-US</dc:language>
  <dcterms:created xmlns:dcterms="http://purl.org/dc/terms/" xmlns:xsi="http://www.w3.org/2001/XMLSchema-instance" xsi:type="dcterms:W3CDTF">2022-09-29T02:43:59Z</dcterms:created>
  <dcterms:modified xmlns:dcterms="http://purl.org/dc/terms/" xmlns:xsi="http://www.w3.org/2001/XMLSchema-instance" xsi:type="dcterms:W3CDTF">2026-09-30T09:32:52Z</dcterms:modified>
  <cp:lastModifiedBy>권희영 권희영</cp:lastModifiedBy>
  <cp:revision>20</cp:revision>
  <cp:lastPrinted>2026-09-03T05:24:03Z</cp:lastPrinted>
</cp:coreProperties>
</file>