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창현관리부\Downloads\"/>
    </mc:Choice>
  </mc:AlternateContent>
  <xr:revisionPtr revIDLastSave="0" documentId="13_ncr:1_{B9E719FB-D576-43C7-A819-D00931D8F37B}" xr6:coauthVersionLast="47" xr6:coauthVersionMax="47" xr10:uidLastSave="{00000000-0000-0000-0000-000000000000}"/>
  <bookViews>
    <workbookView xWindow="3510" yWindow="1230" windowWidth="14715" windowHeight="14250" tabRatio="500" xr2:uid="{00000000-000D-0000-FFFF-FFFF00000000}"/>
  </bookViews>
  <sheets>
    <sheet name="인덱스" sheetId="1" r:id="rId1"/>
    <sheet name="요약" sheetId="2" r:id="rId2"/>
    <sheet name="재무상태표(내역)" sheetId="3" r:id="rId3"/>
    <sheet name="매출액대비 비율분석" sheetId="4" r:id="rId4"/>
    <sheet name="전월대비증감" sheetId="5" r:id="rId5"/>
    <sheet name="재무상태표" sheetId="6" r:id="rId6"/>
    <sheet name="기간별손익계산서" sheetId="7" r:id="rId7"/>
    <sheet name="기간별손익계산서(전년동기)" sheetId="8" r:id="rId8"/>
    <sheet name="손익계산서" sheetId="9" r:id="rId9"/>
  </sheets>
  <definedNames>
    <definedName name="_xlnm.Print_Area" localSheetId="6">기간별손익계산서!$A$1:$G$48</definedName>
    <definedName name="_xlnm.Print_Area" localSheetId="3">'매출액대비 비율분석'!$A$1:$K$61</definedName>
    <definedName name="_xlnm.Print_Area" localSheetId="8">손익계산서!$A$1:$E$55</definedName>
    <definedName name="_xlnm.Print_Area" localSheetId="0">인덱스!$A$1:$H$19</definedName>
    <definedName name="_xlnm.Print_Area" localSheetId="5">재무상태표!$A$1:$E$74</definedName>
    <definedName name="_xlnm.Print_Area" localSheetId="2">'재무상태표(내역)'!$A$1:$K$80</definedName>
    <definedName name="_xlnm.Print_Area" localSheetId="4">전월대비증감!$A$1:$Q$55</definedName>
    <definedName name="_xlnm.Print_Titles" localSheetId="2">'재무상태표(내역)'!$1:$8</definedName>
  </definedNames>
  <calcPr calcId="191029"/>
</workbook>
</file>

<file path=xl/calcChain.xml><?xml version="1.0" encoding="utf-8"?>
<calcChain xmlns="http://schemas.openxmlformats.org/spreadsheetml/2006/main">
  <c r="F48" i="9" l="1"/>
  <c r="F47" i="9"/>
  <c r="F46" i="9"/>
  <c r="F45" i="9"/>
  <c r="F44" i="9"/>
  <c r="F43" i="9"/>
  <c r="F42" i="9"/>
  <c r="G42" i="9" s="1"/>
  <c r="F41" i="9"/>
  <c r="F40" i="9"/>
  <c r="F39" i="9"/>
  <c r="G39" i="9" s="1"/>
  <c r="F38" i="9"/>
  <c r="F37" i="9"/>
  <c r="F36" i="9"/>
  <c r="G36" i="9" s="1"/>
  <c r="F35" i="9"/>
  <c r="F34" i="9"/>
  <c r="F33" i="9"/>
  <c r="G33" i="9" s="1"/>
  <c r="F32" i="9"/>
  <c r="F31" i="9"/>
  <c r="F30" i="9"/>
  <c r="G30" i="9" s="1"/>
  <c r="F29" i="9"/>
  <c r="F28" i="9"/>
  <c r="F27" i="9"/>
  <c r="F26" i="9"/>
  <c r="F25" i="9"/>
  <c r="F24" i="9"/>
  <c r="G24" i="9" s="1"/>
  <c r="F23" i="9"/>
  <c r="F22" i="9"/>
  <c r="F21" i="9"/>
  <c r="G21" i="9" s="1"/>
  <c r="F20" i="9"/>
  <c r="F19" i="9"/>
  <c r="F18" i="9"/>
  <c r="G18" i="9" s="1"/>
  <c r="F17" i="9"/>
  <c r="F16" i="9"/>
  <c r="F15" i="9"/>
  <c r="G15" i="9" s="1"/>
  <c r="F14" i="9"/>
  <c r="F13" i="9"/>
  <c r="F12" i="9"/>
  <c r="G12" i="9" s="1"/>
  <c r="F11" i="9"/>
  <c r="F10" i="9"/>
  <c r="F9" i="9"/>
  <c r="F8" i="9"/>
  <c r="F7" i="9"/>
  <c r="F6" i="9"/>
  <c r="G6" i="9" s="1"/>
  <c r="F5" i="9"/>
  <c r="F4" i="9"/>
  <c r="F3" i="9"/>
  <c r="G45" i="9" s="1"/>
  <c r="O41" i="8"/>
  <c r="O40" i="8"/>
  <c r="O39" i="8"/>
  <c r="P39" i="8" s="1"/>
  <c r="O38" i="8"/>
  <c r="O37" i="8"/>
  <c r="O36" i="8"/>
  <c r="P36" i="8" s="1"/>
  <c r="O35" i="8"/>
  <c r="O34" i="8"/>
  <c r="O33" i="8"/>
  <c r="P33" i="8" s="1"/>
  <c r="O32" i="8"/>
  <c r="O31" i="8"/>
  <c r="O30" i="8"/>
  <c r="O29" i="8"/>
  <c r="O28" i="8"/>
  <c r="O27" i="8"/>
  <c r="P27" i="8" s="1"/>
  <c r="O26" i="8"/>
  <c r="O25" i="8"/>
  <c r="O24" i="8"/>
  <c r="P24" i="8" s="1"/>
  <c r="O23" i="8"/>
  <c r="O22" i="8"/>
  <c r="O21" i="8"/>
  <c r="P21" i="8" s="1"/>
  <c r="O20" i="8"/>
  <c r="O19" i="8"/>
  <c r="O18" i="8"/>
  <c r="P18" i="8" s="1"/>
  <c r="O17" i="8"/>
  <c r="O16" i="8"/>
  <c r="O15" i="8"/>
  <c r="P15" i="8" s="1"/>
  <c r="O14" i="8"/>
  <c r="O13" i="8"/>
  <c r="O12" i="8"/>
  <c r="O11" i="8"/>
  <c r="O10" i="8"/>
  <c r="O9" i="8"/>
  <c r="P9" i="8" s="1"/>
  <c r="O8" i="8"/>
  <c r="O7" i="8"/>
  <c r="O6" i="8"/>
  <c r="P6" i="8" s="1"/>
  <c r="P5" i="8"/>
  <c r="O5" i="8"/>
  <c r="O4" i="8"/>
  <c r="O3" i="8"/>
  <c r="P32" i="8" s="1"/>
  <c r="P2" i="8"/>
  <c r="O2" i="8"/>
  <c r="P42" i="7"/>
  <c r="P41" i="7"/>
  <c r="P40" i="7"/>
  <c r="P39" i="7"/>
  <c r="P38" i="7"/>
  <c r="P37" i="7"/>
  <c r="P36" i="7"/>
  <c r="P35" i="7"/>
  <c r="P34" i="7"/>
  <c r="P33" i="7"/>
  <c r="P32" i="7"/>
  <c r="P31" i="7"/>
  <c r="P30" i="7"/>
  <c r="P29" i="7"/>
  <c r="Q28" i="7"/>
  <c r="P28" i="7"/>
  <c r="P27" i="7"/>
  <c r="P26" i="7"/>
  <c r="P25" i="7"/>
  <c r="P24" i="7"/>
  <c r="P23" i="7"/>
  <c r="Q23" i="7" s="1"/>
  <c r="P22" i="7"/>
  <c r="P21" i="7"/>
  <c r="P20" i="7"/>
  <c r="P19" i="7"/>
  <c r="P18" i="7"/>
  <c r="Q17" i="7"/>
  <c r="P17" i="7"/>
  <c r="P16" i="7"/>
  <c r="P15" i="7"/>
  <c r="P14" i="7"/>
  <c r="Q14" i="7" s="1"/>
  <c r="P13" i="7"/>
  <c r="P12" i="7"/>
  <c r="P11" i="7"/>
  <c r="Q11" i="7" s="1"/>
  <c r="P10" i="7"/>
  <c r="P9" i="7"/>
  <c r="P8" i="7"/>
  <c r="P7" i="7"/>
  <c r="P6" i="7"/>
  <c r="P5" i="7"/>
  <c r="Q4" i="7"/>
  <c r="P4" i="7"/>
  <c r="P3" i="7"/>
  <c r="Q10" i="7" s="1"/>
  <c r="P2" i="7"/>
  <c r="F70" i="6"/>
  <c r="F69" i="6"/>
  <c r="G68" i="6"/>
  <c r="F68" i="6"/>
  <c r="F67" i="6"/>
  <c r="F66" i="6"/>
  <c r="F65" i="6"/>
  <c r="G65" i="6" s="1"/>
  <c r="F64" i="6"/>
  <c r="G64" i="6" s="1"/>
  <c r="F63" i="6"/>
  <c r="F62" i="6"/>
  <c r="F61" i="6"/>
  <c r="F60" i="6"/>
  <c r="F59" i="6"/>
  <c r="F58" i="6"/>
  <c r="G58" i="6" s="1"/>
  <c r="F57" i="6"/>
  <c r="F56" i="6"/>
  <c r="F55" i="6"/>
  <c r="F54" i="6"/>
  <c r="F53" i="6"/>
  <c r="F52" i="6"/>
  <c r="F51" i="6"/>
  <c r="F50" i="6"/>
  <c r="F49" i="6"/>
  <c r="F48" i="6"/>
  <c r="F47" i="6"/>
  <c r="G47" i="6" s="1"/>
  <c r="F46" i="6"/>
  <c r="F45" i="6"/>
  <c r="F44" i="6"/>
  <c r="F43" i="6"/>
  <c r="F42" i="6"/>
  <c r="F41" i="6"/>
  <c r="F40" i="6"/>
  <c r="F39" i="6"/>
  <c r="F38" i="6"/>
  <c r="G37" i="6"/>
  <c r="F37" i="6"/>
  <c r="F36" i="6"/>
  <c r="F35" i="6"/>
  <c r="F34" i="6"/>
  <c r="F33" i="6"/>
  <c r="G32" i="6"/>
  <c r="F32" i="6"/>
  <c r="F31" i="6"/>
  <c r="F30" i="6"/>
  <c r="F29" i="6"/>
  <c r="F28" i="6"/>
  <c r="F27" i="6"/>
  <c r="F26" i="6"/>
  <c r="G26" i="6" s="1"/>
  <c r="F25" i="6"/>
  <c r="F24" i="6"/>
  <c r="F23" i="6"/>
  <c r="F22" i="6"/>
  <c r="F21" i="6"/>
  <c r="F20" i="6"/>
  <c r="G19" i="6"/>
  <c r="F19" i="6"/>
  <c r="F18" i="6"/>
  <c r="F17" i="6"/>
  <c r="F16" i="6"/>
  <c r="F15" i="6"/>
  <c r="G14" i="6"/>
  <c r="F14" i="6"/>
  <c r="F13" i="6"/>
  <c r="F12" i="6"/>
  <c r="F11" i="6"/>
  <c r="G11" i="6" s="1"/>
  <c r="F10" i="6"/>
  <c r="G10" i="6" s="1"/>
  <c r="F9" i="6"/>
  <c r="F8" i="6"/>
  <c r="G8" i="6" s="1"/>
  <c r="F7" i="6"/>
  <c r="F6" i="6"/>
  <c r="F5" i="6"/>
  <c r="G5" i="6" s="1"/>
  <c r="G4" i="6"/>
  <c r="F4" i="6"/>
  <c r="G61" i="6" s="1"/>
  <c r="F3" i="6"/>
  <c r="G3" i="6" s="1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O28" i="5" s="1"/>
  <c r="N27" i="5"/>
  <c r="N26" i="5"/>
  <c r="N25" i="5"/>
  <c r="O25" i="5" s="1"/>
  <c r="N24" i="5"/>
  <c r="N23" i="5"/>
  <c r="N22" i="5"/>
  <c r="N21" i="5"/>
  <c r="N20" i="5"/>
  <c r="N19" i="5"/>
  <c r="N18" i="5"/>
  <c r="N17" i="5"/>
  <c r="N16" i="5"/>
  <c r="O16" i="5" s="1"/>
  <c r="N15" i="5"/>
  <c r="O14" i="5"/>
  <c r="N14" i="5"/>
  <c r="N13" i="5"/>
  <c r="N12" i="5"/>
  <c r="N11" i="5"/>
  <c r="N10" i="5"/>
  <c r="N9" i="5"/>
  <c r="N8" i="5"/>
  <c r="O22" i="5" s="1"/>
  <c r="N7" i="5"/>
  <c r="J6" i="5"/>
  <c r="I6" i="5"/>
  <c r="A3" i="5"/>
  <c r="A1" i="5"/>
  <c r="H61" i="4"/>
  <c r="K60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I19" i="4"/>
  <c r="H19" i="4"/>
  <c r="H18" i="4"/>
  <c r="K17" i="4"/>
  <c r="H17" i="4"/>
  <c r="K16" i="4"/>
  <c r="H16" i="4"/>
  <c r="K15" i="4"/>
  <c r="H15" i="4"/>
  <c r="K14" i="4"/>
  <c r="H14" i="4"/>
  <c r="K13" i="4"/>
  <c r="H13" i="4"/>
  <c r="H12" i="4"/>
  <c r="K11" i="4"/>
  <c r="H11" i="4"/>
  <c r="K10" i="4"/>
  <c r="H10" i="4"/>
  <c r="H9" i="4"/>
  <c r="A4" i="4"/>
  <c r="A3" i="4"/>
  <c r="H80" i="3"/>
  <c r="H79" i="3"/>
  <c r="G78" i="3"/>
  <c r="A78" i="3"/>
  <c r="H78" i="3" s="1"/>
  <c r="G77" i="3"/>
  <c r="A77" i="3"/>
  <c r="H77" i="3" s="1"/>
  <c r="H76" i="3"/>
  <c r="H75" i="3"/>
  <c r="H74" i="3"/>
  <c r="H73" i="3"/>
  <c r="H72" i="3"/>
  <c r="H71" i="3"/>
  <c r="H70" i="3"/>
  <c r="H69" i="3"/>
  <c r="H68" i="3"/>
  <c r="H67" i="3"/>
  <c r="K66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I54" i="3" s="1"/>
  <c r="H53" i="3"/>
  <c r="H52" i="3"/>
  <c r="K51" i="3"/>
  <c r="H51" i="3"/>
  <c r="H50" i="3"/>
  <c r="H49" i="3"/>
  <c r="H48" i="3"/>
  <c r="I48" i="3" s="1"/>
  <c r="H47" i="3"/>
  <c r="H46" i="3"/>
  <c r="H45" i="3"/>
  <c r="H44" i="3"/>
  <c r="H43" i="3"/>
  <c r="H42" i="3"/>
  <c r="H41" i="3"/>
  <c r="H40" i="3"/>
  <c r="H39" i="3"/>
  <c r="H38" i="3"/>
  <c r="H37" i="3"/>
  <c r="H36" i="3"/>
  <c r="I36" i="3" s="1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I21" i="3" s="1"/>
  <c r="H20" i="3"/>
  <c r="H19" i="3"/>
  <c r="H18" i="3"/>
  <c r="I18" i="3" s="1"/>
  <c r="H17" i="3"/>
  <c r="H16" i="3"/>
  <c r="H15" i="3"/>
  <c r="H14" i="3"/>
  <c r="I14" i="3" s="1"/>
  <c r="H13" i="3"/>
  <c r="I12" i="3"/>
  <c r="H12" i="3"/>
  <c r="H11" i="3"/>
  <c r="H10" i="3"/>
  <c r="K9" i="3"/>
  <c r="H9" i="3"/>
  <c r="I53" i="3" s="1"/>
  <c r="A4" i="3"/>
  <c r="A3" i="3"/>
  <c r="B41" i="2"/>
  <c r="C40" i="2"/>
  <c r="B40" i="2"/>
  <c r="A40" i="2"/>
  <c r="C39" i="2"/>
  <c r="B39" i="2"/>
  <c r="A39" i="2"/>
  <c r="C38" i="2"/>
  <c r="B38" i="2"/>
  <c r="A38" i="2"/>
  <c r="C37" i="2"/>
  <c r="B37" i="2"/>
  <c r="A37" i="2"/>
  <c r="C36" i="2"/>
  <c r="B36" i="2"/>
  <c r="A36" i="2"/>
  <c r="C35" i="2"/>
  <c r="B35" i="2"/>
  <c r="A35" i="2"/>
  <c r="C34" i="2"/>
  <c r="B34" i="2"/>
  <c r="A34" i="2"/>
  <c r="C33" i="2"/>
  <c r="B33" i="2"/>
  <c r="A33" i="2"/>
  <c r="C32" i="2"/>
  <c r="B32" i="2"/>
  <c r="A32" i="2"/>
  <c r="C31" i="2"/>
  <c r="B31" i="2"/>
  <c r="A31" i="2"/>
  <c r="C30" i="2"/>
  <c r="B30" i="2"/>
  <c r="A30" i="2"/>
  <c r="C29" i="2"/>
  <c r="B29" i="2"/>
  <c r="A29" i="2"/>
  <c r="C7" i="2"/>
  <c r="C6" i="2"/>
  <c r="B6" i="2"/>
  <c r="B5" i="2"/>
  <c r="A2" i="2"/>
  <c r="B12" i="1"/>
  <c r="B11" i="1"/>
  <c r="B10" i="1"/>
  <c r="B9" i="1"/>
  <c r="B8" i="1"/>
  <c r="B7" i="1"/>
  <c r="A1" i="1"/>
  <c r="C12" i="3" l="1"/>
  <c r="I34" i="3"/>
  <c r="I79" i="3"/>
  <c r="C41" i="2"/>
  <c r="I10" i="3"/>
  <c r="I17" i="3"/>
  <c r="I24" i="3"/>
  <c r="I38" i="3"/>
  <c r="I21" i="4"/>
  <c r="I28" i="3"/>
  <c r="I55" i="3"/>
  <c r="I58" i="3"/>
  <c r="I75" i="3"/>
  <c r="I69" i="3"/>
  <c r="I9" i="3"/>
  <c r="J9" i="3" s="1"/>
  <c r="I68" i="3"/>
  <c r="I67" i="3"/>
  <c r="I62" i="3"/>
  <c r="I51" i="3"/>
  <c r="I44" i="3"/>
  <c r="I71" i="3"/>
  <c r="I70" i="3"/>
  <c r="I42" i="3"/>
  <c r="I74" i="3"/>
  <c r="I73" i="3"/>
  <c r="I40" i="3"/>
  <c r="I57" i="3"/>
  <c r="I13" i="3"/>
  <c r="I20" i="3"/>
  <c r="I30" i="3"/>
  <c r="I33" i="3"/>
  <c r="I46" i="3"/>
  <c r="I56" i="3"/>
  <c r="I59" i="3"/>
  <c r="I77" i="3"/>
  <c r="I10" i="4"/>
  <c r="I54" i="4"/>
  <c r="I41" i="4"/>
  <c r="I28" i="4"/>
  <c r="I13" i="4"/>
  <c r="I12" i="4"/>
  <c r="I16" i="4"/>
  <c r="I16" i="3"/>
  <c r="I26" i="3"/>
  <c r="I35" i="3"/>
  <c r="I49" i="3"/>
  <c r="I60" i="3"/>
  <c r="I78" i="3"/>
  <c r="I22" i="3"/>
  <c r="I29" i="3"/>
  <c r="I37" i="3"/>
  <c r="I47" i="3"/>
  <c r="I52" i="3"/>
  <c r="I25" i="3"/>
  <c r="I32" i="3"/>
  <c r="I50" i="3"/>
  <c r="I76" i="3"/>
  <c r="I39" i="3"/>
  <c r="I65" i="3"/>
  <c r="I9" i="4"/>
  <c r="I49" i="4"/>
  <c r="I48" i="4"/>
  <c r="I43" i="4"/>
  <c r="I37" i="4"/>
  <c r="I32" i="4"/>
  <c r="I58" i="4"/>
  <c r="I57" i="4"/>
  <c r="I46" i="4"/>
  <c r="I15" i="4"/>
  <c r="I18" i="4"/>
  <c r="I29" i="4"/>
  <c r="I34" i="4"/>
  <c r="I51" i="4"/>
  <c r="I11" i="3"/>
  <c r="I15" i="3"/>
  <c r="I19" i="3"/>
  <c r="I23" i="3"/>
  <c r="I27" i="3"/>
  <c r="I31" i="3"/>
  <c r="I41" i="3"/>
  <c r="I64" i="3"/>
  <c r="I72" i="3"/>
  <c r="I40" i="4"/>
  <c r="I55" i="4"/>
  <c r="I43" i="3"/>
  <c r="I63" i="3"/>
  <c r="I35" i="4"/>
  <c r="I38" i="4"/>
  <c r="I52" i="4"/>
  <c r="I60" i="4"/>
  <c r="I45" i="3"/>
  <c r="I61" i="3"/>
  <c r="I66" i="3"/>
  <c r="I11" i="4"/>
  <c r="I44" i="4"/>
  <c r="I53" i="4"/>
  <c r="I36" i="4"/>
  <c r="I61" i="4"/>
  <c r="I24" i="4"/>
  <c r="I27" i="4"/>
  <c r="I31" i="4"/>
  <c r="I42" i="4"/>
  <c r="I14" i="4"/>
  <c r="I22" i="4"/>
  <c r="I25" i="4"/>
  <c r="I39" i="4"/>
  <c r="I59" i="4"/>
  <c r="O13" i="5"/>
  <c r="O24" i="5"/>
  <c r="O33" i="5"/>
  <c r="O39" i="5"/>
  <c r="O52" i="5"/>
  <c r="I80" i="3"/>
  <c r="I47" i="4"/>
  <c r="O11" i="5"/>
  <c r="O49" i="5"/>
  <c r="O53" i="5"/>
  <c r="O41" i="5"/>
  <c r="O26" i="5"/>
  <c r="O20" i="5"/>
  <c r="O9" i="5"/>
  <c r="O10" i="5"/>
  <c r="O19" i="5"/>
  <c r="O31" i="5"/>
  <c r="O37" i="5"/>
  <c r="I17" i="4"/>
  <c r="I30" i="4"/>
  <c r="O8" i="5"/>
  <c r="O18" i="5"/>
  <c r="O30" i="5"/>
  <c r="I20" i="4"/>
  <c r="I23" i="4"/>
  <c r="I26" i="4"/>
  <c r="I33" i="4"/>
  <c r="I45" i="4"/>
  <c r="O35" i="5"/>
  <c r="O40" i="5"/>
  <c r="I50" i="4"/>
  <c r="I56" i="4"/>
  <c r="O15" i="5"/>
  <c r="O21" i="5"/>
  <c r="O27" i="5"/>
  <c r="O38" i="5"/>
  <c r="O43" i="5"/>
  <c r="O45" i="5"/>
  <c r="O54" i="5"/>
  <c r="G22" i="6"/>
  <c r="G28" i="6"/>
  <c r="G44" i="6"/>
  <c r="O12" i="5"/>
  <c r="O36" i="5"/>
  <c r="O51" i="5"/>
  <c r="G29" i="6"/>
  <c r="G50" i="6"/>
  <c r="G55" i="6"/>
  <c r="O17" i="5"/>
  <c r="O23" i="5"/>
  <c r="O29" i="5"/>
  <c r="G40" i="6"/>
  <c r="G46" i="6"/>
  <c r="G62" i="6"/>
  <c r="O42" i="5"/>
  <c r="O48" i="5"/>
  <c r="O32" i="5"/>
  <c r="O44" i="5"/>
  <c r="O50" i="5"/>
  <c r="G15" i="6"/>
  <c r="G20" i="6"/>
  <c r="G33" i="6"/>
  <c r="G38" i="6"/>
  <c r="G51" i="6"/>
  <c r="G56" i="6"/>
  <c r="G69" i="6"/>
  <c r="Q5" i="7"/>
  <c r="Q18" i="7"/>
  <c r="Q29" i="7"/>
  <c r="Q41" i="7"/>
  <c r="O7" i="5"/>
  <c r="O34" i="5"/>
  <c r="O46" i="5"/>
  <c r="O47" i="5"/>
  <c r="G7" i="6"/>
  <c r="G16" i="6"/>
  <c r="G25" i="6"/>
  <c r="G34" i="6"/>
  <c r="G43" i="6"/>
  <c r="G52" i="6"/>
  <c r="G70" i="6"/>
  <c r="G12" i="6"/>
  <c r="B18" i="3" s="1"/>
  <c r="G17" i="6"/>
  <c r="G30" i="6"/>
  <c r="G35" i="6"/>
  <c r="G48" i="6"/>
  <c r="G53" i="6"/>
  <c r="G66" i="6"/>
  <c r="Q31" i="7"/>
  <c r="Q20" i="7"/>
  <c r="Q26" i="7"/>
  <c r="G13" i="6"/>
  <c r="G18" i="6"/>
  <c r="G31" i="6"/>
  <c r="G36" i="6"/>
  <c r="G49" i="6"/>
  <c r="G54" i="6"/>
  <c r="G67" i="6"/>
  <c r="Q3" i="7"/>
  <c r="Q37" i="7"/>
  <c r="Q19" i="7"/>
  <c r="Q40" i="7"/>
  <c r="Q22" i="7"/>
  <c r="Q25" i="7"/>
  <c r="Q35" i="7"/>
  <c r="Q7" i="7"/>
  <c r="Q21" i="7"/>
  <c r="Q32" i="7"/>
  <c r="Q38" i="7"/>
  <c r="G23" i="6"/>
  <c r="G41" i="6"/>
  <c r="G59" i="6"/>
  <c r="Q8" i="7"/>
  <c r="G6" i="6"/>
  <c r="J12" i="3" s="1"/>
  <c r="G24" i="6"/>
  <c r="G42" i="6"/>
  <c r="G60" i="6"/>
  <c r="Q9" i="7"/>
  <c r="Q16" i="7"/>
  <c r="Q27" i="7"/>
  <c r="Q34" i="7"/>
  <c r="P4" i="8"/>
  <c r="P11" i="8"/>
  <c r="P22" i="8"/>
  <c r="P29" i="8"/>
  <c r="P40" i="8"/>
  <c r="G8" i="9"/>
  <c r="G19" i="9"/>
  <c r="G26" i="9"/>
  <c r="G37" i="9"/>
  <c r="G44" i="9"/>
  <c r="G21" i="6"/>
  <c r="G39" i="6"/>
  <c r="G57" i="6"/>
  <c r="Q2" i="7"/>
  <c r="I22" i="5" s="1"/>
  <c r="Q6" i="7"/>
  <c r="B22" i="5" s="1"/>
  <c r="Q13" i="7"/>
  <c r="Q24" i="7"/>
  <c r="Q42" i="7"/>
  <c r="P8" i="8"/>
  <c r="P19" i="8"/>
  <c r="P26" i="8"/>
  <c r="P37" i="8"/>
  <c r="G5" i="9"/>
  <c r="G16" i="9"/>
  <c r="G23" i="9"/>
  <c r="G34" i="9"/>
  <c r="G41" i="9"/>
  <c r="Q39" i="7"/>
  <c r="P12" i="8"/>
  <c r="P16" i="8"/>
  <c r="P23" i="8"/>
  <c r="P30" i="8"/>
  <c r="P34" i="8"/>
  <c r="P41" i="8"/>
  <c r="G9" i="9"/>
  <c r="G13" i="9"/>
  <c r="G20" i="9"/>
  <c r="G27" i="9"/>
  <c r="G31" i="9"/>
  <c r="G38" i="9"/>
  <c r="Q36" i="7"/>
  <c r="P13" i="8"/>
  <c r="P20" i="8"/>
  <c r="P31" i="8"/>
  <c r="P38" i="8"/>
  <c r="G48" i="9"/>
  <c r="G47" i="9"/>
  <c r="G10" i="9"/>
  <c r="G17" i="9"/>
  <c r="G28" i="9"/>
  <c r="G35" i="9"/>
  <c r="G46" i="9"/>
  <c r="Q15" i="7"/>
  <c r="Q33" i="7"/>
  <c r="P10" i="8"/>
  <c r="P17" i="8"/>
  <c r="P28" i="8"/>
  <c r="P35" i="8"/>
  <c r="G3" i="9"/>
  <c r="J19" i="4" s="1"/>
  <c r="G7" i="9"/>
  <c r="G14" i="9"/>
  <c r="G25" i="9"/>
  <c r="G32" i="9"/>
  <c r="G43" i="9"/>
  <c r="G9" i="6"/>
  <c r="F53" i="3" s="1"/>
  <c r="G27" i="6"/>
  <c r="G45" i="6"/>
  <c r="G63" i="6"/>
  <c r="Q12" i="7"/>
  <c r="Q30" i="7"/>
  <c r="P3" i="8"/>
  <c r="P7" i="8"/>
  <c r="P14" i="8"/>
  <c r="P25" i="8"/>
  <c r="G4" i="9"/>
  <c r="G11" i="9"/>
  <c r="G22" i="9"/>
  <c r="G29" i="9"/>
  <c r="G40" i="9"/>
  <c r="G25" i="5" l="1"/>
  <c r="J14" i="5"/>
  <c r="J44" i="4"/>
  <c r="E44" i="4"/>
  <c r="F44" i="4"/>
  <c r="C44" i="4"/>
  <c r="B44" i="4"/>
  <c r="B65" i="3"/>
  <c r="F65" i="3"/>
  <c r="J65" i="3"/>
  <c r="E65" i="3"/>
  <c r="C65" i="3"/>
  <c r="F67" i="3"/>
  <c r="E67" i="3"/>
  <c r="C67" i="3"/>
  <c r="G67" i="3" s="1"/>
  <c r="J67" i="3"/>
  <c r="B67" i="3"/>
  <c r="H32" i="5"/>
  <c r="B32" i="5"/>
  <c r="P32" i="5"/>
  <c r="G32" i="5"/>
  <c r="F32" i="5"/>
  <c r="E32" i="5"/>
  <c r="D32" i="5"/>
  <c r="C32" i="5"/>
  <c r="J32" i="5"/>
  <c r="I32" i="5"/>
  <c r="Q32" i="5" s="1"/>
  <c r="P29" i="5"/>
  <c r="I29" i="5"/>
  <c r="C29" i="5"/>
  <c r="H29" i="5"/>
  <c r="B29" i="5"/>
  <c r="E29" i="5"/>
  <c r="D29" i="5"/>
  <c r="J29" i="5"/>
  <c r="G29" i="5"/>
  <c r="F29" i="5"/>
  <c r="P51" i="5"/>
  <c r="I51" i="5"/>
  <c r="C51" i="5"/>
  <c r="E51" i="5"/>
  <c r="D51" i="5"/>
  <c r="F51" i="5"/>
  <c r="B51" i="5"/>
  <c r="J51" i="5"/>
  <c r="H51" i="5"/>
  <c r="G51" i="5"/>
  <c r="F54" i="5"/>
  <c r="J54" i="5"/>
  <c r="C54" i="5"/>
  <c r="I54" i="5"/>
  <c r="Q54" i="5" s="1"/>
  <c r="B54" i="5"/>
  <c r="D54" i="5"/>
  <c r="H54" i="5"/>
  <c r="G54" i="5"/>
  <c r="E54" i="5"/>
  <c r="P54" i="5"/>
  <c r="P15" i="5"/>
  <c r="H15" i="5"/>
  <c r="B15" i="5"/>
  <c r="G15" i="5"/>
  <c r="F15" i="5"/>
  <c r="E15" i="5"/>
  <c r="D15" i="5"/>
  <c r="J15" i="5"/>
  <c r="I15" i="5"/>
  <c r="Q15" i="5" s="1"/>
  <c r="C15" i="5"/>
  <c r="J25" i="5"/>
  <c r="H14" i="5"/>
  <c r="F45" i="4"/>
  <c r="B45" i="4"/>
  <c r="E45" i="4"/>
  <c r="C45" i="4"/>
  <c r="J45" i="4"/>
  <c r="F18" i="5"/>
  <c r="E18" i="5"/>
  <c r="H18" i="5"/>
  <c r="P18" i="5"/>
  <c r="G18" i="5"/>
  <c r="D18" i="5"/>
  <c r="B18" i="5"/>
  <c r="J18" i="5"/>
  <c r="I18" i="5"/>
  <c r="C18" i="5"/>
  <c r="E25" i="5"/>
  <c r="F26" i="5"/>
  <c r="E26" i="5"/>
  <c r="D26" i="5"/>
  <c r="C26" i="5"/>
  <c r="J26" i="5"/>
  <c r="B26" i="5"/>
  <c r="P26" i="5"/>
  <c r="I26" i="5"/>
  <c r="Q26" i="5" s="1"/>
  <c r="H26" i="5"/>
  <c r="G26" i="5"/>
  <c r="J11" i="5"/>
  <c r="D11" i="5"/>
  <c r="I11" i="5"/>
  <c r="Q11" i="5" s="1"/>
  <c r="C11" i="5"/>
  <c r="H11" i="5"/>
  <c r="G11" i="5"/>
  <c r="E11" i="5"/>
  <c r="B11" i="5"/>
  <c r="P11" i="5"/>
  <c r="F11" i="5"/>
  <c r="F24" i="5"/>
  <c r="E24" i="5"/>
  <c r="H24" i="5"/>
  <c r="P24" i="5"/>
  <c r="G24" i="5"/>
  <c r="D24" i="5"/>
  <c r="J24" i="5"/>
  <c r="I24" i="5"/>
  <c r="C24" i="5"/>
  <c r="B24" i="5"/>
  <c r="C22" i="4"/>
  <c r="F22" i="4"/>
  <c r="E22" i="4"/>
  <c r="J22" i="4"/>
  <c r="B22" i="4"/>
  <c r="C24" i="4"/>
  <c r="J24" i="4"/>
  <c r="B24" i="4"/>
  <c r="F24" i="4"/>
  <c r="E24" i="4"/>
  <c r="C11" i="4"/>
  <c r="F11" i="4"/>
  <c r="E11" i="4"/>
  <c r="B11" i="4"/>
  <c r="J11" i="4"/>
  <c r="J38" i="4"/>
  <c r="F38" i="4"/>
  <c r="E38" i="4"/>
  <c r="C38" i="4"/>
  <c r="B38" i="4"/>
  <c r="G28" i="5"/>
  <c r="E28" i="5"/>
  <c r="H16" i="5"/>
  <c r="B55" i="4"/>
  <c r="J55" i="4"/>
  <c r="C55" i="4"/>
  <c r="F55" i="4"/>
  <c r="E55" i="4"/>
  <c r="B27" i="3"/>
  <c r="J27" i="3"/>
  <c r="E27" i="3"/>
  <c r="C27" i="3"/>
  <c r="G27" i="3" s="1"/>
  <c r="F27" i="3"/>
  <c r="C22" i="5"/>
  <c r="J22" i="5"/>
  <c r="E18" i="4"/>
  <c r="F18" i="4"/>
  <c r="J18" i="4"/>
  <c r="C18" i="4"/>
  <c r="B18" i="4"/>
  <c r="J37" i="4"/>
  <c r="E37" i="4"/>
  <c r="C37" i="4"/>
  <c r="B37" i="4"/>
  <c r="F37" i="4"/>
  <c r="B39" i="3"/>
  <c r="C39" i="3"/>
  <c r="J39" i="3"/>
  <c r="F39" i="3"/>
  <c r="K39" i="3" s="1"/>
  <c r="E39" i="3"/>
  <c r="J18" i="3"/>
  <c r="B29" i="3"/>
  <c r="F29" i="3"/>
  <c r="E29" i="3"/>
  <c r="C29" i="3"/>
  <c r="G29" i="3" s="1"/>
  <c r="J29" i="3"/>
  <c r="E19" i="4"/>
  <c r="B49" i="3"/>
  <c r="F49" i="3"/>
  <c r="E49" i="3"/>
  <c r="C49" i="3"/>
  <c r="G49" i="3" s="1"/>
  <c r="J49" i="3"/>
  <c r="C13" i="4"/>
  <c r="B13" i="4"/>
  <c r="J13" i="4"/>
  <c r="F13" i="4"/>
  <c r="E13" i="4"/>
  <c r="B59" i="3"/>
  <c r="C59" i="3"/>
  <c r="G59" i="3" s="1"/>
  <c r="J59" i="3"/>
  <c r="F59" i="3"/>
  <c r="E59" i="3"/>
  <c r="B13" i="3"/>
  <c r="F13" i="3"/>
  <c r="K13" i="3" s="1"/>
  <c r="E13" i="3"/>
  <c r="C13" i="3"/>
  <c r="J13" i="3"/>
  <c r="E70" i="3"/>
  <c r="F70" i="3"/>
  <c r="J70" i="3"/>
  <c r="C70" i="3"/>
  <c r="G70" i="3" s="1"/>
  <c r="B70" i="3"/>
  <c r="E68" i="3"/>
  <c r="C68" i="3"/>
  <c r="J68" i="3"/>
  <c r="B68" i="3"/>
  <c r="F68" i="3"/>
  <c r="K68" i="3" s="1"/>
  <c r="F28" i="3"/>
  <c r="K28" i="3" s="1"/>
  <c r="E28" i="3"/>
  <c r="C28" i="3"/>
  <c r="B28" i="3"/>
  <c r="J28" i="3"/>
  <c r="F38" i="3"/>
  <c r="K38" i="3" s="1"/>
  <c r="E38" i="3"/>
  <c r="B38" i="3"/>
  <c r="J38" i="3"/>
  <c r="C38" i="3"/>
  <c r="B21" i="3"/>
  <c r="J36" i="3"/>
  <c r="B54" i="3"/>
  <c r="B48" i="3"/>
  <c r="H44" i="5"/>
  <c r="B44" i="5"/>
  <c r="P44" i="5"/>
  <c r="G44" i="5"/>
  <c r="F44" i="5"/>
  <c r="E44" i="5"/>
  <c r="C44" i="5"/>
  <c r="J44" i="5"/>
  <c r="I44" i="5"/>
  <c r="Q44" i="5" s="1"/>
  <c r="D44" i="5"/>
  <c r="P31" i="5"/>
  <c r="I31" i="5"/>
  <c r="C31" i="5"/>
  <c r="H31" i="5"/>
  <c r="B31" i="5"/>
  <c r="J31" i="5"/>
  <c r="G31" i="5"/>
  <c r="E31" i="5"/>
  <c r="D31" i="5"/>
  <c r="F31" i="5"/>
  <c r="B52" i="4"/>
  <c r="F52" i="4"/>
  <c r="E52" i="4"/>
  <c r="C52" i="4"/>
  <c r="J52" i="4"/>
  <c r="P16" i="5"/>
  <c r="J29" i="4"/>
  <c r="E29" i="4"/>
  <c r="C29" i="4"/>
  <c r="F29" i="4"/>
  <c r="B29" i="4"/>
  <c r="F60" i="3"/>
  <c r="E60" i="3"/>
  <c r="C60" i="3"/>
  <c r="G60" i="3" s="1"/>
  <c r="B60" i="3"/>
  <c r="J60" i="3"/>
  <c r="F20" i="3"/>
  <c r="K20" i="3" s="1"/>
  <c r="E20" i="3"/>
  <c r="B20" i="3"/>
  <c r="J20" i="3"/>
  <c r="C20" i="3"/>
  <c r="G20" i="3" s="1"/>
  <c r="F55" i="3"/>
  <c r="E55" i="3"/>
  <c r="C55" i="3"/>
  <c r="G55" i="3" s="1"/>
  <c r="J55" i="3"/>
  <c r="B55" i="3"/>
  <c r="F10" i="3"/>
  <c r="K10" i="3" s="1"/>
  <c r="C10" i="3"/>
  <c r="J10" i="3"/>
  <c r="B10" i="3"/>
  <c r="E10" i="3"/>
  <c r="F21" i="3"/>
  <c r="J48" i="3"/>
  <c r="P47" i="5"/>
  <c r="I47" i="5"/>
  <c r="Q47" i="5" s="1"/>
  <c r="C47" i="5"/>
  <c r="F47" i="5"/>
  <c r="B47" i="5"/>
  <c r="G47" i="5"/>
  <c r="E47" i="5"/>
  <c r="J47" i="5"/>
  <c r="H47" i="5"/>
  <c r="D47" i="5"/>
  <c r="F48" i="5"/>
  <c r="E48" i="5"/>
  <c r="C48" i="5"/>
  <c r="H48" i="5"/>
  <c r="P48" i="5"/>
  <c r="G48" i="5"/>
  <c r="J48" i="5"/>
  <c r="I48" i="5"/>
  <c r="Q48" i="5" s="1"/>
  <c r="D48" i="5"/>
  <c r="B48" i="5"/>
  <c r="P23" i="5"/>
  <c r="I23" i="5"/>
  <c r="C23" i="5"/>
  <c r="H23" i="5"/>
  <c r="B23" i="5"/>
  <c r="E23" i="5"/>
  <c r="D23" i="5"/>
  <c r="J23" i="5"/>
  <c r="G23" i="5"/>
  <c r="F23" i="5"/>
  <c r="H36" i="5"/>
  <c r="B36" i="5"/>
  <c r="E36" i="5"/>
  <c r="D36" i="5"/>
  <c r="P36" i="5"/>
  <c r="C36" i="5"/>
  <c r="J36" i="5"/>
  <c r="I36" i="5"/>
  <c r="Q36" i="5" s="1"/>
  <c r="G36" i="5"/>
  <c r="F36" i="5"/>
  <c r="E45" i="5"/>
  <c r="G45" i="5"/>
  <c r="F45" i="5"/>
  <c r="J45" i="5"/>
  <c r="H45" i="5"/>
  <c r="P45" i="5"/>
  <c r="D45" i="5"/>
  <c r="C45" i="5"/>
  <c r="I45" i="5"/>
  <c r="B45" i="5"/>
  <c r="J56" i="4"/>
  <c r="C56" i="4"/>
  <c r="F56" i="4"/>
  <c r="E56" i="4"/>
  <c r="B56" i="4"/>
  <c r="B25" i="5"/>
  <c r="B14" i="5"/>
  <c r="J33" i="4"/>
  <c r="B33" i="4"/>
  <c r="F33" i="4"/>
  <c r="E33" i="4"/>
  <c r="C33" i="4"/>
  <c r="E8" i="5"/>
  <c r="J8" i="5"/>
  <c r="K8" i="5" s="1"/>
  <c r="D8" i="5"/>
  <c r="I8" i="5"/>
  <c r="H8" i="5"/>
  <c r="G8" i="5"/>
  <c r="P8" i="5"/>
  <c r="F8" i="5"/>
  <c r="C8" i="5"/>
  <c r="B8" i="5"/>
  <c r="P19" i="5"/>
  <c r="I19" i="5"/>
  <c r="Q19" i="5" s="1"/>
  <c r="C19" i="5"/>
  <c r="H19" i="5"/>
  <c r="B19" i="5"/>
  <c r="J19" i="5"/>
  <c r="G19" i="5"/>
  <c r="E19" i="5"/>
  <c r="D19" i="5"/>
  <c r="F19" i="5"/>
  <c r="E41" i="5"/>
  <c r="I41" i="5"/>
  <c r="Q41" i="5" s="1"/>
  <c r="B41" i="5"/>
  <c r="P41" i="5"/>
  <c r="H41" i="5"/>
  <c r="D41" i="5"/>
  <c r="C41" i="5"/>
  <c r="J41" i="5"/>
  <c r="G41" i="5"/>
  <c r="F41" i="5"/>
  <c r="J47" i="4"/>
  <c r="B47" i="4"/>
  <c r="E47" i="4"/>
  <c r="C47" i="4"/>
  <c r="F47" i="4"/>
  <c r="P14" i="5"/>
  <c r="C14" i="4"/>
  <c r="J14" i="4"/>
  <c r="F14" i="4"/>
  <c r="E14" i="4"/>
  <c r="B14" i="4"/>
  <c r="F25" i="5"/>
  <c r="J66" i="3"/>
  <c r="J35" i="4"/>
  <c r="B35" i="4"/>
  <c r="F35" i="4"/>
  <c r="E35" i="4"/>
  <c r="C35" i="4"/>
  <c r="P28" i="5"/>
  <c r="F28" i="5"/>
  <c r="I16" i="5"/>
  <c r="J40" i="4"/>
  <c r="E40" i="4"/>
  <c r="B40" i="4"/>
  <c r="F40" i="4"/>
  <c r="C40" i="4"/>
  <c r="B23" i="3"/>
  <c r="J23" i="3"/>
  <c r="C23" i="3"/>
  <c r="F23" i="3"/>
  <c r="K23" i="3" s="1"/>
  <c r="E23" i="3"/>
  <c r="D22" i="5"/>
  <c r="E22" i="5"/>
  <c r="F15" i="4"/>
  <c r="B15" i="4"/>
  <c r="J15" i="4"/>
  <c r="E15" i="4"/>
  <c r="C15" i="4"/>
  <c r="B43" i="4"/>
  <c r="E43" i="4"/>
  <c r="G43" i="4" s="1"/>
  <c r="J43" i="4"/>
  <c r="C43" i="4"/>
  <c r="F43" i="4"/>
  <c r="E76" i="3"/>
  <c r="F76" i="3"/>
  <c r="K76" i="3" s="1"/>
  <c r="B76" i="3"/>
  <c r="J76" i="3"/>
  <c r="C76" i="3"/>
  <c r="C18" i="3"/>
  <c r="G18" i="3" s="1"/>
  <c r="F22" i="3"/>
  <c r="K22" i="3" s="1"/>
  <c r="C22" i="3"/>
  <c r="J22" i="3"/>
  <c r="B22" i="3"/>
  <c r="E22" i="3"/>
  <c r="F19" i="4"/>
  <c r="B35" i="3"/>
  <c r="F35" i="3"/>
  <c r="K35" i="3" s="1"/>
  <c r="E35" i="3"/>
  <c r="C35" i="3"/>
  <c r="J35" i="3"/>
  <c r="J28" i="4"/>
  <c r="E28" i="4"/>
  <c r="C28" i="4"/>
  <c r="B28" i="4"/>
  <c r="F28" i="4"/>
  <c r="E56" i="3"/>
  <c r="J56" i="3"/>
  <c r="C56" i="3"/>
  <c r="G56" i="3" s="1"/>
  <c r="F56" i="3"/>
  <c r="K56" i="3" s="1"/>
  <c r="B56" i="3"/>
  <c r="E57" i="3"/>
  <c r="C57" i="3"/>
  <c r="J57" i="3"/>
  <c r="B57" i="3"/>
  <c r="F57" i="3"/>
  <c r="K57" i="3" s="1"/>
  <c r="E71" i="3"/>
  <c r="J71" i="3"/>
  <c r="C71" i="3"/>
  <c r="F71" i="3"/>
  <c r="K71" i="3" s="1"/>
  <c r="B71" i="3"/>
  <c r="B14" i="3"/>
  <c r="F24" i="3"/>
  <c r="K24" i="3" s="1"/>
  <c r="E24" i="3"/>
  <c r="C24" i="3"/>
  <c r="B24" i="3"/>
  <c r="J24" i="3"/>
  <c r="F79" i="3"/>
  <c r="J79" i="3"/>
  <c r="B79" i="3"/>
  <c r="E79" i="3"/>
  <c r="C79" i="3"/>
  <c r="J53" i="3"/>
  <c r="B36" i="3"/>
  <c r="F54" i="3"/>
  <c r="K54" i="3" s="1"/>
  <c r="C48" i="3"/>
  <c r="F30" i="5"/>
  <c r="E30" i="5"/>
  <c r="H30" i="5"/>
  <c r="P30" i="5"/>
  <c r="G30" i="5"/>
  <c r="D30" i="5"/>
  <c r="B30" i="5"/>
  <c r="J30" i="5"/>
  <c r="I30" i="5"/>
  <c r="Q30" i="5" s="1"/>
  <c r="C30" i="5"/>
  <c r="E14" i="5"/>
  <c r="C25" i="4"/>
  <c r="F25" i="4"/>
  <c r="E25" i="4"/>
  <c r="J25" i="4"/>
  <c r="B25" i="4"/>
  <c r="J28" i="5"/>
  <c r="F16" i="5"/>
  <c r="J32" i="4"/>
  <c r="C32" i="4"/>
  <c r="B32" i="4"/>
  <c r="F32" i="4"/>
  <c r="E32" i="4"/>
  <c r="B37" i="3"/>
  <c r="E37" i="3"/>
  <c r="C37" i="3"/>
  <c r="G37" i="3" s="1"/>
  <c r="J37" i="3"/>
  <c r="F37" i="3"/>
  <c r="K37" i="3" s="1"/>
  <c r="B19" i="4"/>
  <c r="E12" i="4"/>
  <c r="F12" i="4"/>
  <c r="C12" i="4"/>
  <c r="B12" i="4"/>
  <c r="J12" i="4"/>
  <c r="F42" i="3"/>
  <c r="E42" i="3"/>
  <c r="C42" i="3"/>
  <c r="G42" i="3" s="1"/>
  <c r="B42" i="3"/>
  <c r="J42" i="3"/>
  <c r="C21" i="4"/>
  <c r="J21" i="4"/>
  <c r="B21" i="4"/>
  <c r="F21" i="4"/>
  <c r="E21" i="4"/>
  <c r="H46" i="5"/>
  <c r="B46" i="5"/>
  <c r="J46" i="5"/>
  <c r="F46" i="5"/>
  <c r="E46" i="5"/>
  <c r="D46" i="5"/>
  <c r="I46" i="5"/>
  <c r="Q46" i="5" s="1"/>
  <c r="P46" i="5"/>
  <c r="G46" i="5"/>
  <c r="C46" i="5"/>
  <c r="H42" i="5"/>
  <c r="B42" i="5"/>
  <c r="I42" i="5"/>
  <c r="Q42" i="5" s="1"/>
  <c r="P42" i="5"/>
  <c r="G42" i="5"/>
  <c r="J42" i="5"/>
  <c r="F42" i="5"/>
  <c r="D42" i="5"/>
  <c r="C42" i="5"/>
  <c r="E42" i="5"/>
  <c r="P17" i="5"/>
  <c r="I17" i="5"/>
  <c r="C17" i="5"/>
  <c r="H17" i="5"/>
  <c r="B17" i="5"/>
  <c r="E17" i="5"/>
  <c r="D17" i="5"/>
  <c r="J17" i="5"/>
  <c r="G17" i="5"/>
  <c r="F17" i="5"/>
  <c r="P12" i="5"/>
  <c r="H12" i="5"/>
  <c r="B12" i="5"/>
  <c r="G12" i="5"/>
  <c r="E12" i="5"/>
  <c r="D12" i="5"/>
  <c r="C12" i="5"/>
  <c r="I12" i="5"/>
  <c r="Q12" i="5" s="1"/>
  <c r="F12" i="5"/>
  <c r="J12" i="5"/>
  <c r="E43" i="5"/>
  <c r="P43" i="5"/>
  <c r="H43" i="5"/>
  <c r="G43" i="5"/>
  <c r="J43" i="5"/>
  <c r="F43" i="5"/>
  <c r="D43" i="5"/>
  <c r="C43" i="5"/>
  <c r="I43" i="5"/>
  <c r="Q43" i="5" s="1"/>
  <c r="B43" i="5"/>
  <c r="J50" i="4"/>
  <c r="C50" i="4"/>
  <c r="F50" i="4"/>
  <c r="E50" i="4"/>
  <c r="B50" i="4"/>
  <c r="H25" i="5"/>
  <c r="C14" i="5"/>
  <c r="C26" i="4"/>
  <c r="E26" i="4"/>
  <c r="B26" i="4"/>
  <c r="J26" i="4"/>
  <c r="F26" i="4"/>
  <c r="J30" i="4"/>
  <c r="B30" i="4"/>
  <c r="F30" i="4"/>
  <c r="E30" i="4"/>
  <c r="C30" i="4"/>
  <c r="F14" i="5"/>
  <c r="P53" i="5"/>
  <c r="I53" i="5"/>
  <c r="Q53" i="5" s="1"/>
  <c r="C53" i="5"/>
  <c r="D53" i="5"/>
  <c r="J53" i="5"/>
  <c r="B53" i="5"/>
  <c r="G53" i="5"/>
  <c r="F53" i="5"/>
  <c r="H53" i="5"/>
  <c r="E53" i="5"/>
  <c r="B80" i="3"/>
  <c r="F80" i="3"/>
  <c r="K80" i="3" s="1"/>
  <c r="E80" i="3"/>
  <c r="C80" i="3"/>
  <c r="J80" i="3"/>
  <c r="F13" i="5"/>
  <c r="E13" i="5"/>
  <c r="I13" i="5"/>
  <c r="H13" i="5"/>
  <c r="P13" i="5"/>
  <c r="G13" i="5"/>
  <c r="J13" i="5"/>
  <c r="K13" i="5" s="1"/>
  <c r="D13" i="5"/>
  <c r="C13" i="5"/>
  <c r="B13" i="5"/>
  <c r="G14" i="5"/>
  <c r="J61" i="4"/>
  <c r="C61" i="4"/>
  <c r="B61" i="4"/>
  <c r="F61" i="4"/>
  <c r="E61" i="4"/>
  <c r="B61" i="3"/>
  <c r="F61" i="3"/>
  <c r="K61" i="3" s="1"/>
  <c r="E61" i="3"/>
  <c r="C61" i="3"/>
  <c r="G61" i="3" s="1"/>
  <c r="J61" i="3"/>
  <c r="B63" i="3"/>
  <c r="C63" i="3"/>
  <c r="J63" i="3"/>
  <c r="F63" i="3"/>
  <c r="K63" i="3" s="1"/>
  <c r="E63" i="3"/>
  <c r="H28" i="5"/>
  <c r="C16" i="5"/>
  <c r="B16" i="5"/>
  <c r="E72" i="3"/>
  <c r="B72" i="3"/>
  <c r="J72" i="3"/>
  <c r="F72" i="3"/>
  <c r="K72" i="3" s="1"/>
  <c r="C72" i="3"/>
  <c r="G72" i="3" s="1"/>
  <c r="B19" i="3"/>
  <c r="J19" i="3"/>
  <c r="F19" i="3"/>
  <c r="C19" i="3"/>
  <c r="G19" i="3" s="1"/>
  <c r="E19" i="3"/>
  <c r="G22" i="5"/>
  <c r="F22" i="5"/>
  <c r="B46" i="4"/>
  <c r="F46" i="4"/>
  <c r="E46" i="4"/>
  <c r="G46" i="4" s="1"/>
  <c r="J46" i="4"/>
  <c r="C46" i="4"/>
  <c r="F48" i="4"/>
  <c r="C48" i="4"/>
  <c r="J48" i="4"/>
  <c r="B48" i="4"/>
  <c r="D48" i="4" s="1"/>
  <c r="E48" i="4"/>
  <c r="F50" i="3"/>
  <c r="E50" i="3"/>
  <c r="C50" i="3"/>
  <c r="B50" i="3"/>
  <c r="J50" i="3"/>
  <c r="F18" i="3"/>
  <c r="K18" i="3" s="1"/>
  <c r="E14" i="3"/>
  <c r="C19" i="4"/>
  <c r="F26" i="3"/>
  <c r="K26" i="3" s="1"/>
  <c r="C26" i="3"/>
  <c r="G26" i="3" s="1"/>
  <c r="J26" i="3"/>
  <c r="B26" i="3"/>
  <c r="E26" i="3"/>
  <c r="J41" i="4"/>
  <c r="F41" i="4"/>
  <c r="E41" i="4"/>
  <c r="C41" i="4"/>
  <c r="B41" i="4"/>
  <c r="F46" i="3"/>
  <c r="K46" i="3" s="1"/>
  <c r="E46" i="3"/>
  <c r="C46" i="3"/>
  <c r="G46" i="3" s="1"/>
  <c r="B46" i="3"/>
  <c r="J46" i="3"/>
  <c r="F40" i="3"/>
  <c r="E40" i="3"/>
  <c r="J40" i="3"/>
  <c r="B40" i="3"/>
  <c r="C40" i="3"/>
  <c r="G40" i="3" s="1"/>
  <c r="F44" i="3"/>
  <c r="K44" i="3" s="1"/>
  <c r="E44" i="3"/>
  <c r="C44" i="3"/>
  <c r="J44" i="3"/>
  <c r="B44" i="3"/>
  <c r="B69" i="3"/>
  <c r="J69" i="3"/>
  <c r="F69" i="3"/>
  <c r="E69" i="3"/>
  <c r="C69" i="3"/>
  <c r="G69" i="3" s="1"/>
  <c r="J14" i="3"/>
  <c r="J21" i="3"/>
  <c r="F34" i="3"/>
  <c r="K34" i="3" s="1"/>
  <c r="E34" i="3"/>
  <c r="C34" i="3"/>
  <c r="B34" i="3"/>
  <c r="J34" i="3"/>
  <c r="B53" i="3"/>
  <c r="C36" i="3"/>
  <c r="C54" i="3"/>
  <c r="E48" i="3"/>
  <c r="P21" i="5"/>
  <c r="I21" i="5"/>
  <c r="C21" i="5"/>
  <c r="H21" i="5"/>
  <c r="B21" i="5"/>
  <c r="G21" i="5"/>
  <c r="F21" i="5"/>
  <c r="E21" i="5"/>
  <c r="J21" i="5"/>
  <c r="D21" i="5"/>
  <c r="P25" i="5"/>
  <c r="E33" i="5"/>
  <c r="G33" i="5"/>
  <c r="F33" i="5"/>
  <c r="J33" i="5"/>
  <c r="I33" i="5"/>
  <c r="Q33" i="5" s="1"/>
  <c r="H33" i="5"/>
  <c r="D33" i="5"/>
  <c r="C33" i="5"/>
  <c r="B33" i="5"/>
  <c r="P33" i="5"/>
  <c r="B31" i="3"/>
  <c r="J31" i="3"/>
  <c r="F31" i="3"/>
  <c r="E31" i="3"/>
  <c r="C31" i="3"/>
  <c r="G31" i="3" s="1"/>
  <c r="P22" i="5"/>
  <c r="C13" i="2"/>
  <c r="C12" i="2"/>
  <c r="C11" i="2"/>
  <c r="C10" i="2"/>
  <c r="C9" i="2"/>
  <c r="C8" i="2"/>
  <c r="C16" i="2"/>
  <c r="C15" i="2"/>
  <c r="E15" i="2" s="1"/>
  <c r="C14" i="2"/>
  <c r="H34" i="5"/>
  <c r="B34" i="5"/>
  <c r="F34" i="5"/>
  <c r="E34" i="5"/>
  <c r="P34" i="5"/>
  <c r="D34" i="5"/>
  <c r="C34" i="5"/>
  <c r="J34" i="5"/>
  <c r="I34" i="5"/>
  <c r="Q34" i="5" s="1"/>
  <c r="G34" i="5"/>
  <c r="H38" i="5"/>
  <c r="B38" i="5"/>
  <c r="D38" i="5"/>
  <c r="J38" i="5"/>
  <c r="C38" i="5"/>
  <c r="F38" i="5"/>
  <c r="P38" i="5"/>
  <c r="E38" i="5"/>
  <c r="I38" i="5"/>
  <c r="Q38" i="5" s="1"/>
  <c r="G38" i="5"/>
  <c r="H40" i="5"/>
  <c r="B40" i="5"/>
  <c r="J40" i="5"/>
  <c r="C40" i="5"/>
  <c r="I40" i="5"/>
  <c r="Q40" i="5" s="1"/>
  <c r="G40" i="5"/>
  <c r="F40" i="5"/>
  <c r="P40" i="5"/>
  <c r="E40" i="5"/>
  <c r="D40" i="5"/>
  <c r="C25" i="5"/>
  <c r="I14" i="5"/>
  <c r="Q14" i="5" s="1"/>
  <c r="C23" i="4"/>
  <c r="E23" i="4"/>
  <c r="J23" i="4"/>
  <c r="F23" i="4"/>
  <c r="B23" i="4"/>
  <c r="J17" i="4"/>
  <c r="E17" i="4"/>
  <c r="C17" i="4"/>
  <c r="F17" i="4"/>
  <c r="B17" i="4"/>
  <c r="G10" i="5"/>
  <c r="F10" i="5"/>
  <c r="I10" i="5"/>
  <c r="P10" i="5"/>
  <c r="H10" i="5"/>
  <c r="E10" i="5"/>
  <c r="C10" i="5"/>
  <c r="B10" i="5"/>
  <c r="J10" i="5"/>
  <c r="D10" i="5"/>
  <c r="P49" i="5"/>
  <c r="I49" i="5"/>
  <c r="Q49" i="5" s="1"/>
  <c r="C49" i="5"/>
  <c r="F49" i="5"/>
  <c r="E49" i="5"/>
  <c r="G49" i="5"/>
  <c r="J49" i="5"/>
  <c r="B49" i="5"/>
  <c r="H49" i="5"/>
  <c r="D49" i="5"/>
  <c r="F52" i="5"/>
  <c r="D52" i="5"/>
  <c r="J52" i="5"/>
  <c r="C52" i="5"/>
  <c r="I52" i="5"/>
  <c r="Q52" i="5" s="1"/>
  <c r="G52" i="5"/>
  <c r="P52" i="5"/>
  <c r="E52" i="5"/>
  <c r="B52" i="5"/>
  <c r="H52" i="5"/>
  <c r="J59" i="4"/>
  <c r="C59" i="4"/>
  <c r="E59" i="4"/>
  <c r="F59" i="4"/>
  <c r="B59" i="4"/>
  <c r="F42" i="4"/>
  <c r="E42" i="4"/>
  <c r="C42" i="4"/>
  <c r="J42" i="4"/>
  <c r="B42" i="4"/>
  <c r="J36" i="4"/>
  <c r="B36" i="4"/>
  <c r="F36" i="4"/>
  <c r="E36" i="4"/>
  <c r="C36" i="4"/>
  <c r="B45" i="3"/>
  <c r="F45" i="3"/>
  <c r="K45" i="3" s="1"/>
  <c r="E45" i="3"/>
  <c r="J45" i="3"/>
  <c r="C45" i="3"/>
  <c r="G45" i="3" s="1"/>
  <c r="B43" i="3"/>
  <c r="F43" i="3"/>
  <c r="K43" i="3" s="1"/>
  <c r="J43" i="3"/>
  <c r="E43" i="3"/>
  <c r="C43" i="3"/>
  <c r="I28" i="5"/>
  <c r="Q28" i="5" s="1"/>
  <c r="D16" i="5"/>
  <c r="J16" i="5"/>
  <c r="F64" i="3"/>
  <c r="B64" i="3"/>
  <c r="J64" i="3"/>
  <c r="C64" i="3"/>
  <c r="G64" i="3" s="1"/>
  <c r="E64" i="3"/>
  <c r="B15" i="3"/>
  <c r="J15" i="3"/>
  <c r="F15" i="3"/>
  <c r="E15" i="3"/>
  <c r="C15" i="3"/>
  <c r="G15" i="3" s="1"/>
  <c r="H22" i="5"/>
  <c r="F51" i="4"/>
  <c r="E51" i="4"/>
  <c r="C51" i="4"/>
  <c r="J51" i="4"/>
  <c r="B51" i="4"/>
  <c r="F57" i="4"/>
  <c r="E57" i="4"/>
  <c r="G57" i="4" s="1"/>
  <c r="C57" i="4"/>
  <c r="J57" i="4"/>
  <c r="B57" i="4"/>
  <c r="B49" i="4"/>
  <c r="J49" i="4"/>
  <c r="F49" i="4"/>
  <c r="E49" i="4"/>
  <c r="C49" i="4"/>
  <c r="F32" i="3"/>
  <c r="E32" i="3"/>
  <c r="C32" i="3"/>
  <c r="G32" i="3" s="1"/>
  <c r="B32" i="3"/>
  <c r="J32" i="3"/>
  <c r="E52" i="3"/>
  <c r="J52" i="3"/>
  <c r="C52" i="3"/>
  <c r="F52" i="3"/>
  <c r="K52" i="3" s="1"/>
  <c r="B52" i="3"/>
  <c r="E12" i="3"/>
  <c r="F16" i="3"/>
  <c r="K16" i="3" s="1"/>
  <c r="E16" i="3"/>
  <c r="J16" i="3"/>
  <c r="B16" i="3"/>
  <c r="G16" i="3" s="1"/>
  <c r="C16" i="3"/>
  <c r="F54" i="4"/>
  <c r="E54" i="4"/>
  <c r="G54" i="4" s="1"/>
  <c r="C54" i="4"/>
  <c r="B54" i="4"/>
  <c r="J54" i="4"/>
  <c r="B33" i="3"/>
  <c r="F33" i="3"/>
  <c r="E33" i="3"/>
  <c r="J33" i="3"/>
  <c r="C33" i="3"/>
  <c r="G33" i="3" s="1"/>
  <c r="F73" i="3"/>
  <c r="K73" i="3" s="1"/>
  <c r="B73" i="3"/>
  <c r="J73" i="3"/>
  <c r="E73" i="3"/>
  <c r="C73" i="3"/>
  <c r="J51" i="3"/>
  <c r="B75" i="3"/>
  <c r="E75" i="3"/>
  <c r="C75" i="3"/>
  <c r="J75" i="3"/>
  <c r="F75" i="3"/>
  <c r="K75" i="3" s="1"/>
  <c r="C14" i="3"/>
  <c r="G14" i="3" s="1"/>
  <c r="B17" i="3"/>
  <c r="F17" i="3"/>
  <c r="K17" i="3" s="1"/>
  <c r="E17" i="3"/>
  <c r="C17" i="3"/>
  <c r="J17" i="3"/>
  <c r="C21" i="3"/>
  <c r="G21" i="3" s="1"/>
  <c r="C53" i="3"/>
  <c r="G53" i="3" s="1"/>
  <c r="E36" i="3"/>
  <c r="J54" i="3"/>
  <c r="F48" i="3"/>
  <c r="K48" i="3" s="1"/>
  <c r="F20" i="5"/>
  <c r="E20" i="5"/>
  <c r="D20" i="5"/>
  <c r="C20" i="5"/>
  <c r="J20" i="5"/>
  <c r="B20" i="5"/>
  <c r="H20" i="5"/>
  <c r="G20" i="5"/>
  <c r="P20" i="5"/>
  <c r="I20" i="5"/>
  <c r="Q20" i="5" s="1"/>
  <c r="J27" i="4"/>
  <c r="C27" i="4"/>
  <c r="B27" i="4"/>
  <c r="F27" i="4"/>
  <c r="E27" i="4"/>
  <c r="D28" i="5"/>
  <c r="H7" i="5"/>
  <c r="B7" i="5"/>
  <c r="G7" i="5"/>
  <c r="I7" i="5"/>
  <c r="Q7" i="5" s="1"/>
  <c r="P7" i="5"/>
  <c r="F7" i="5"/>
  <c r="E7" i="5"/>
  <c r="J7" i="5"/>
  <c r="D7" i="5"/>
  <c r="C7" i="5"/>
  <c r="F50" i="5"/>
  <c r="E50" i="5"/>
  <c r="D50" i="5"/>
  <c r="J50" i="5"/>
  <c r="I50" i="5"/>
  <c r="Q50" i="5" s="1"/>
  <c r="P50" i="5"/>
  <c r="G50" i="5"/>
  <c r="C50" i="5"/>
  <c r="B50" i="5"/>
  <c r="H50" i="5"/>
  <c r="P27" i="5"/>
  <c r="I27" i="5"/>
  <c r="C27" i="5"/>
  <c r="H27" i="5"/>
  <c r="B27" i="5"/>
  <c r="G27" i="5"/>
  <c r="F27" i="5"/>
  <c r="E27" i="5"/>
  <c r="J27" i="5"/>
  <c r="D27" i="5"/>
  <c r="E35" i="5"/>
  <c r="F35" i="5"/>
  <c r="D35" i="5"/>
  <c r="I35" i="5"/>
  <c r="Q35" i="5" s="1"/>
  <c r="H35" i="5"/>
  <c r="P35" i="5"/>
  <c r="G35" i="5"/>
  <c r="J35" i="5"/>
  <c r="C35" i="5"/>
  <c r="B35" i="5"/>
  <c r="I25" i="5"/>
  <c r="Q25" i="5" s="1"/>
  <c r="D14" i="5"/>
  <c r="C20" i="4"/>
  <c r="E20" i="4"/>
  <c r="J20" i="4"/>
  <c r="F20" i="4"/>
  <c r="B20" i="4"/>
  <c r="E37" i="5"/>
  <c r="D37" i="5"/>
  <c r="J37" i="5"/>
  <c r="C37" i="5"/>
  <c r="I37" i="5"/>
  <c r="Q37" i="5" s="1"/>
  <c r="H37" i="5"/>
  <c r="G37" i="5"/>
  <c r="B37" i="5"/>
  <c r="P37" i="5"/>
  <c r="F37" i="5"/>
  <c r="I9" i="5"/>
  <c r="Q9" i="5" s="1"/>
  <c r="C9" i="5"/>
  <c r="P9" i="5"/>
  <c r="H9" i="5"/>
  <c r="B9" i="5"/>
  <c r="E9" i="5"/>
  <c r="D9" i="5"/>
  <c r="J9" i="5"/>
  <c r="K9" i="5" s="1"/>
  <c r="G9" i="5"/>
  <c r="F9" i="5"/>
  <c r="D25" i="5"/>
  <c r="E39" i="5"/>
  <c r="J39" i="5"/>
  <c r="C39" i="5"/>
  <c r="I39" i="5"/>
  <c r="Q39" i="5" s="1"/>
  <c r="B39" i="5"/>
  <c r="H39" i="5"/>
  <c r="G39" i="5"/>
  <c r="F39" i="5"/>
  <c r="D39" i="5"/>
  <c r="P39" i="5"/>
  <c r="J39" i="4"/>
  <c r="B39" i="4"/>
  <c r="F39" i="4"/>
  <c r="E39" i="4"/>
  <c r="C39" i="4"/>
  <c r="J31" i="4"/>
  <c r="E31" i="4"/>
  <c r="F31" i="4"/>
  <c r="C31" i="4"/>
  <c r="B31" i="4"/>
  <c r="J53" i="4"/>
  <c r="C53" i="4"/>
  <c r="E53" i="4"/>
  <c r="F53" i="4"/>
  <c r="B53" i="4"/>
  <c r="F60" i="4"/>
  <c r="C60" i="4"/>
  <c r="E60" i="4"/>
  <c r="B60" i="4"/>
  <c r="J60" i="4"/>
  <c r="C28" i="5"/>
  <c r="B28" i="5"/>
  <c r="G16" i="5"/>
  <c r="E16" i="5"/>
  <c r="B41" i="3"/>
  <c r="J41" i="3"/>
  <c r="E41" i="3"/>
  <c r="C41" i="3"/>
  <c r="F41" i="3"/>
  <c r="K41" i="3" s="1"/>
  <c r="B11" i="3"/>
  <c r="J11" i="3"/>
  <c r="F11" i="3"/>
  <c r="E11" i="3"/>
  <c r="C11" i="3"/>
  <c r="G11" i="3" s="1"/>
  <c r="J34" i="4"/>
  <c r="E34" i="4"/>
  <c r="F34" i="4"/>
  <c r="C34" i="4"/>
  <c r="B34" i="4"/>
  <c r="B58" i="4"/>
  <c r="F58" i="4"/>
  <c r="E58" i="4"/>
  <c r="C58" i="4"/>
  <c r="J58" i="4"/>
  <c r="C9" i="4"/>
  <c r="J9" i="4"/>
  <c r="B9" i="4"/>
  <c r="E9" i="4"/>
  <c r="F9" i="4"/>
  <c r="B25" i="3"/>
  <c r="F25" i="3"/>
  <c r="K25" i="3" s="1"/>
  <c r="E25" i="3"/>
  <c r="C25" i="3"/>
  <c r="G25" i="3" s="1"/>
  <c r="J25" i="3"/>
  <c r="B47" i="3"/>
  <c r="F47" i="3"/>
  <c r="E47" i="3"/>
  <c r="C47" i="3"/>
  <c r="G47" i="3" s="1"/>
  <c r="J47" i="3"/>
  <c r="F12" i="3"/>
  <c r="K12" i="3" s="1"/>
  <c r="C16" i="4"/>
  <c r="B16" i="4"/>
  <c r="J16" i="4"/>
  <c r="F16" i="4"/>
  <c r="E16" i="4"/>
  <c r="F10" i="4"/>
  <c r="J10" i="4"/>
  <c r="E10" i="4"/>
  <c r="C10" i="4"/>
  <c r="B10" i="4"/>
  <c r="F30" i="3"/>
  <c r="C30" i="3"/>
  <c r="G30" i="3" s="1"/>
  <c r="J30" i="3"/>
  <c r="B30" i="3"/>
  <c r="E30" i="3"/>
  <c r="E74" i="3"/>
  <c r="C74" i="3"/>
  <c r="G74" i="3" s="1"/>
  <c r="J74" i="3"/>
  <c r="B74" i="3"/>
  <c r="F74" i="3"/>
  <c r="F62" i="3"/>
  <c r="E62" i="3"/>
  <c r="C62" i="3"/>
  <c r="G62" i="3" s="1"/>
  <c r="B62" i="3"/>
  <c r="J62" i="3"/>
  <c r="F58" i="3"/>
  <c r="E58" i="3"/>
  <c r="C58" i="3"/>
  <c r="G58" i="3" s="1"/>
  <c r="B58" i="3"/>
  <c r="J58" i="3"/>
  <c r="F14" i="3"/>
  <c r="B12" i="3"/>
  <c r="E21" i="3"/>
  <c r="E53" i="3"/>
  <c r="F36" i="3"/>
  <c r="K36" i="3" s="1"/>
  <c r="E54" i="3"/>
  <c r="E18" i="3"/>
  <c r="G59" i="4" l="1"/>
  <c r="F15" i="2"/>
  <c r="C18" i="2"/>
  <c r="G36" i="3"/>
  <c r="D41" i="4"/>
  <c r="B11" i="2"/>
  <c r="K53" i="5"/>
  <c r="L53" i="5"/>
  <c r="D32" i="4"/>
  <c r="M32" i="4"/>
  <c r="G28" i="4"/>
  <c r="P28" i="4"/>
  <c r="D47" i="4"/>
  <c r="L23" i="5"/>
  <c r="K23" i="5"/>
  <c r="Q23" i="5"/>
  <c r="D52" i="4"/>
  <c r="D37" i="4"/>
  <c r="M37" i="4"/>
  <c r="D38" i="4"/>
  <c r="M38" i="4"/>
  <c r="D24" i="4"/>
  <c r="M24" i="4"/>
  <c r="L51" i="5"/>
  <c r="K51" i="5"/>
  <c r="Q51" i="5"/>
  <c r="G44" i="4"/>
  <c r="K60" i="3"/>
  <c r="L44" i="5"/>
  <c r="K44" i="5"/>
  <c r="G38" i="3"/>
  <c r="K70" i="3"/>
  <c r="G18" i="4"/>
  <c r="F9" i="2"/>
  <c r="K25" i="5"/>
  <c r="L25" i="5"/>
  <c r="L32" i="5"/>
  <c r="K32" i="5"/>
  <c r="K65" i="3"/>
  <c r="C23" i="2"/>
  <c r="G23" i="4"/>
  <c r="P23" i="4"/>
  <c r="K30" i="3"/>
  <c r="L27" i="5"/>
  <c r="K27" i="5"/>
  <c r="G27" i="4"/>
  <c r="P27" i="4"/>
  <c r="L10" i="5"/>
  <c r="K10" i="5"/>
  <c r="E8" i="2"/>
  <c r="K33" i="5"/>
  <c r="L33" i="5"/>
  <c r="L21" i="5"/>
  <c r="K21" i="5"/>
  <c r="K19" i="3"/>
  <c r="D61" i="4"/>
  <c r="B16" i="2"/>
  <c r="G30" i="4"/>
  <c r="P30" i="4"/>
  <c r="M26" i="4"/>
  <c r="D26" i="4"/>
  <c r="G21" i="4"/>
  <c r="P21" i="4"/>
  <c r="D12" i="4"/>
  <c r="B8" i="2"/>
  <c r="P25" i="4"/>
  <c r="G25" i="4"/>
  <c r="L30" i="5"/>
  <c r="K30" i="5"/>
  <c r="G79" i="3"/>
  <c r="B24" i="2"/>
  <c r="G19" i="4"/>
  <c r="F10" i="2"/>
  <c r="G41" i="3"/>
  <c r="D31" i="4"/>
  <c r="M31" i="4"/>
  <c r="P39" i="4"/>
  <c r="G39" i="4"/>
  <c r="K39" i="5"/>
  <c r="L39" i="5"/>
  <c r="Q27" i="5"/>
  <c r="D54" i="4"/>
  <c r="K54" i="4" s="1"/>
  <c r="G52" i="3"/>
  <c r="D49" i="4"/>
  <c r="D51" i="4"/>
  <c r="G36" i="4"/>
  <c r="P36" i="4"/>
  <c r="D42" i="4"/>
  <c r="B12" i="2"/>
  <c r="D59" i="4"/>
  <c r="K59" i="4" s="1"/>
  <c r="B15" i="2"/>
  <c r="K38" i="5"/>
  <c r="L38" i="5"/>
  <c r="L34" i="5"/>
  <c r="K34" i="5"/>
  <c r="Q21" i="5"/>
  <c r="G41" i="4"/>
  <c r="F11" i="2"/>
  <c r="I2" i="3"/>
  <c r="G50" i="3"/>
  <c r="B22" i="2"/>
  <c r="D46" i="4"/>
  <c r="K46" i="4" s="1"/>
  <c r="G26" i="4"/>
  <c r="P26" i="4"/>
  <c r="G50" i="4"/>
  <c r="F13" i="2"/>
  <c r="G12" i="4"/>
  <c r="F8" i="2"/>
  <c r="H8" i="2" s="1"/>
  <c r="G24" i="3"/>
  <c r="G71" i="3"/>
  <c r="G57" i="3"/>
  <c r="G76" i="3"/>
  <c r="D40" i="4"/>
  <c r="M40" i="4"/>
  <c r="K45" i="5"/>
  <c r="L45" i="5"/>
  <c r="K47" i="5"/>
  <c r="L47" i="5"/>
  <c r="D29" i="4"/>
  <c r="M29" i="4"/>
  <c r="G28" i="3"/>
  <c r="G68" i="3"/>
  <c r="P37" i="4"/>
  <c r="G37" i="4"/>
  <c r="D55" i="4"/>
  <c r="G38" i="4"/>
  <c r="P38" i="4"/>
  <c r="L54" i="5"/>
  <c r="K54" i="5"/>
  <c r="K14" i="5"/>
  <c r="G80" i="3"/>
  <c r="D30" i="4"/>
  <c r="K30" i="4" s="1"/>
  <c r="M30" i="4"/>
  <c r="D50" i="4"/>
  <c r="B13" i="2"/>
  <c r="K12" i="5"/>
  <c r="L17" i="5"/>
  <c r="K17" i="5"/>
  <c r="Q17" i="5"/>
  <c r="K42" i="5"/>
  <c r="L42" i="5"/>
  <c r="D21" i="4"/>
  <c r="K21" i="4" s="1"/>
  <c r="M21" i="4"/>
  <c r="G48" i="3"/>
  <c r="G35" i="3"/>
  <c r="G23" i="3"/>
  <c r="G40" i="4"/>
  <c r="P40" i="4"/>
  <c r="G35" i="4"/>
  <c r="P35" i="4"/>
  <c r="G33" i="4"/>
  <c r="P33" i="4"/>
  <c r="D56" i="4"/>
  <c r="K56" i="4" s="1"/>
  <c r="Q45" i="5"/>
  <c r="L36" i="5"/>
  <c r="K36" i="5"/>
  <c r="G10" i="3"/>
  <c r="K55" i="3"/>
  <c r="Q31" i="5"/>
  <c r="K59" i="3"/>
  <c r="K49" i="3"/>
  <c r="K29" i="3"/>
  <c r="G39" i="3"/>
  <c r="L22" i="5"/>
  <c r="K22" i="5"/>
  <c r="M22" i="4"/>
  <c r="D22" i="4"/>
  <c r="K11" i="5"/>
  <c r="L26" i="5"/>
  <c r="K26" i="5"/>
  <c r="G45" i="4"/>
  <c r="K67" i="3"/>
  <c r="D44" i="4"/>
  <c r="K44" i="4" s="1"/>
  <c r="K41" i="5"/>
  <c r="L41" i="5"/>
  <c r="K19" i="5"/>
  <c r="L19" i="5"/>
  <c r="Q8" i="5"/>
  <c r="G56" i="4"/>
  <c r="G52" i="4"/>
  <c r="G13" i="3"/>
  <c r="G55" i="4"/>
  <c r="G24" i="4"/>
  <c r="P24" i="4"/>
  <c r="Q24" i="5"/>
  <c r="Q18" i="5"/>
  <c r="D45" i="4"/>
  <c r="K15" i="5"/>
  <c r="L29" i="5"/>
  <c r="K29" i="5"/>
  <c r="Q29" i="5"/>
  <c r="G12" i="3"/>
  <c r="G65" i="3"/>
  <c r="B23" i="2"/>
  <c r="Q22" i="5"/>
  <c r="P34" i="4"/>
  <c r="G34" i="4"/>
  <c r="L16" i="5"/>
  <c r="K16" i="5"/>
  <c r="G58" i="4"/>
  <c r="F14" i="2"/>
  <c r="M20" i="4"/>
  <c r="D20" i="4"/>
  <c r="Q10" i="5"/>
  <c r="K62" i="3"/>
  <c r="D9" i="4"/>
  <c r="B7" i="2"/>
  <c r="D34" i="4"/>
  <c r="K34" i="4" s="1"/>
  <c r="M34" i="4"/>
  <c r="D53" i="4"/>
  <c r="M27" i="4"/>
  <c r="D27" i="4"/>
  <c r="K27" i="4" s="1"/>
  <c r="G73" i="3"/>
  <c r="K32" i="3"/>
  <c r="D57" i="4"/>
  <c r="K57" i="4" s="1"/>
  <c r="G43" i="3"/>
  <c r="M23" i="4"/>
  <c r="D23" i="4"/>
  <c r="K23" i="4" s="1"/>
  <c r="D19" i="4"/>
  <c r="K19" i="4" s="1"/>
  <c r="B10" i="2"/>
  <c r="G63" i="3"/>
  <c r="K58" i="3"/>
  <c r="K74" i="3"/>
  <c r="K47" i="3"/>
  <c r="K11" i="3"/>
  <c r="D39" i="4"/>
  <c r="K39" i="4" s="1"/>
  <c r="M39" i="4"/>
  <c r="K37" i="5"/>
  <c r="L37" i="5"/>
  <c r="G20" i="4"/>
  <c r="P20" i="4"/>
  <c r="K35" i="5"/>
  <c r="L35" i="5"/>
  <c r="L50" i="5"/>
  <c r="K50" i="5"/>
  <c r="L7" i="5"/>
  <c r="K7" i="5"/>
  <c r="G17" i="3"/>
  <c r="K15" i="3"/>
  <c r="D36" i="4"/>
  <c r="K36" i="4" s="1"/>
  <c r="M36" i="4"/>
  <c r="G42" i="4"/>
  <c r="F12" i="2"/>
  <c r="H12" i="2" s="1"/>
  <c r="E11" i="2"/>
  <c r="C17" i="2"/>
  <c r="K31" i="3"/>
  <c r="G34" i="3"/>
  <c r="G44" i="3"/>
  <c r="K50" i="3"/>
  <c r="I3" i="3"/>
  <c r="C22" i="2"/>
  <c r="E22" i="2" s="1"/>
  <c r="K43" i="5"/>
  <c r="L43" i="5"/>
  <c r="L46" i="5"/>
  <c r="K46" i="5"/>
  <c r="K42" i="3"/>
  <c r="G32" i="4"/>
  <c r="P32" i="4"/>
  <c r="L28" i="5"/>
  <c r="K28" i="5"/>
  <c r="D28" i="4"/>
  <c r="K28" i="4" s="1"/>
  <c r="M28" i="4"/>
  <c r="K14" i="3"/>
  <c r="G9" i="4"/>
  <c r="F7" i="2"/>
  <c r="H7" i="2" s="1"/>
  <c r="D58" i="4"/>
  <c r="B14" i="2"/>
  <c r="G53" i="4"/>
  <c r="G31" i="4"/>
  <c r="P31" i="4"/>
  <c r="L20" i="5"/>
  <c r="K20" i="5"/>
  <c r="G75" i="3"/>
  <c r="K33" i="3"/>
  <c r="G49" i="4"/>
  <c r="G51" i="4"/>
  <c r="K64" i="3"/>
  <c r="L52" i="5"/>
  <c r="K52" i="5"/>
  <c r="L49" i="5"/>
  <c r="K49" i="5"/>
  <c r="L40" i="5"/>
  <c r="K40" i="5"/>
  <c r="E12" i="2"/>
  <c r="G54" i="3"/>
  <c r="K69" i="3"/>
  <c r="K40" i="3"/>
  <c r="G48" i="4"/>
  <c r="K48" i="4" s="1"/>
  <c r="G61" i="4"/>
  <c r="F16" i="2"/>
  <c r="Q13" i="5"/>
  <c r="M25" i="4"/>
  <c r="D25" i="4"/>
  <c r="K25" i="4" s="1"/>
  <c r="K79" i="3"/>
  <c r="C24" i="2"/>
  <c r="E24" i="2" s="1"/>
  <c r="G22" i="3"/>
  <c r="D43" i="4"/>
  <c r="K43" i="4" s="1"/>
  <c r="Q16" i="5"/>
  <c r="D35" i="4"/>
  <c r="K35" i="4" s="1"/>
  <c r="M35" i="4"/>
  <c r="G47" i="4"/>
  <c r="D33" i="4"/>
  <c r="K33" i="4" s="1"/>
  <c r="M33" i="4"/>
  <c r="L48" i="5"/>
  <c r="K48" i="5"/>
  <c r="K21" i="3"/>
  <c r="G29" i="4"/>
  <c r="P29" i="4"/>
  <c r="K31" i="5"/>
  <c r="L31" i="5"/>
  <c r="B9" i="2"/>
  <c r="D18" i="4"/>
  <c r="K18" i="4" s="1"/>
  <c r="K27" i="3"/>
  <c r="P22" i="4"/>
  <c r="G22" i="4"/>
  <c r="L24" i="5"/>
  <c r="K24" i="5"/>
  <c r="L18" i="5"/>
  <c r="K18" i="5"/>
  <c r="K53" i="3"/>
  <c r="K9" i="4" l="1"/>
  <c r="D13" i="2"/>
  <c r="G13" i="2"/>
  <c r="K42" i="4"/>
  <c r="K12" i="4"/>
  <c r="C25" i="2"/>
  <c r="E23" i="2"/>
  <c r="H9" i="2"/>
  <c r="K24" i="4"/>
  <c r="K41" i="4"/>
  <c r="E13" i="2"/>
  <c r="B25" i="2"/>
  <c r="D23" i="2"/>
  <c r="K50" i="4"/>
  <c r="F17" i="2"/>
  <c r="H11" i="2"/>
  <c r="K31" i="4"/>
  <c r="B18" i="2"/>
  <c r="D16" i="2"/>
  <c r="G16" i="2"/>
  <c r="K32" i="4"/>
  <c r="K53" i="4"/>
  <c r="K45" i="4"/>
  <c r="K61" i="4"/>
  <c r="K38" i="4"/>
  <c r="E16" i="2"/>
  <c r="D14" i="2"/>
  <c r="G14" i="2"/>
  <c r="E14" i="2"/>
  <c r="G10" i="2"/>
  <c r="D10" i="2"/>
  <c r="K20" i="4"/>
  <c r="G15" i="2"/>
  <c r="D15" i="2"/>
  <c r="K51" i="4"/>
  <c r="H10" i="2"/>
  <c r="K26" i="4"/>
  <c r="K47" i="4"/>
  <c r="G9" i="2"/>
  <c r="D9" i="2"/>
  <c r="H16" i="2"/>
  <c r="F18" i="2"/>
  <c r="K58" i="4"/>
  <c r="K22" i="4"/>
  <c r="K55" i="4"/>
  <c r="K29" i="4"/>
  <c r="K40" i="4"/>
  <c r="D22" i="2"/>
  <c r="E9" i="2"/>
  <c r="K49" i="4"/>
  <c r="K37" i="4"/>
  <c r="H15" i="2"/>
  <c r="E10" i="2"/>
  <c r="G7" i="2"/>
  <c r="E7" i="2"/>
  <c r="D7" i="2"/>
  <c r="H14" i="2"/>
  <c r="H13" i="2"/>
  <c r="D12" i="2"/>
  <c r="G12" i="2"/>
  <c r="D24" i="2"/>
  <c r="G8" i="2"/>
  <c r="D8" i="2"/>
  <c r="K52" i="4"/>
  <c r="D11" i="2"/>
  <c r="B17" i="2"/>
  <c r="G1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21" authorId="0" shapeId="0" xr:uid="{00000000-0006-0000-0200-000001000000}">
      <text>
        <r>
          <rPr>
            <sz val="9"/>
            <color rgb="FF000000"/>
            <rFont val="굴림체"/>
            <family val="3"/>
            <charset val="129"/>
          </rPr>
          <t>12월말 이자수익과 상계처리</t>
        </r>
      </text>
    </comment>
  </commentList>
</comments>
</file>

<file path=xl/sharedStrings.xml><?xml version="1.0" encoding="utf-8"?>
<sst xmlns="http://schemas.openxmlformats.org/spreadsheetml/2006/main" count="647" uniqueCount="317">
  <si>
    <t>결산기준일</t>
  </si>
  <si>
    <t>(이 날짜만 바꾸면 아래 목록 및 재무상태표(내역)/전월대비증감/매출액대비 비율분석 시트의 기간 문구가 자동으로 바뀝니다)</t>
  </si>
  <si>
    <t>I N D E X</t>
  </si>
  <si>
    <t>NO</t>
  </si>
  <si>
    <t>구분</t>
  </si>
  <si>
    <t xml:space="preserve">핵심지표 요약 </t>
  </si>
  <si>
    <t>결재</t>
  </si>
  <si>
    <t>담당</t>
  </si>
  <si>
    <t>이사</t>
  </si>
  <si>
    <t>임원</t>
  </si>
  <si>
    <t>사장</t>
  </si>
  <si>
    <t>핵심지표 요약</t>
  </si>
  <si>
    <t>■ 손익 요약  (단위: 천원)</t>
  </si>
  <si>
    <t>전기 대비 (2025년 연간)</t>
  </si>
  <si>
    <t>증감액</t>
  </si>
  <si>
    <t>증감률</t>
  </si>
  <si>
    <t>전기(연간)</t>
  </si>
  <si>
    <t>매출액</t>
  </si>
  <si>
    <t>매출원가</t>
  </si>
  <si>
    <t>매출총이익</t>
  </si>
  <si>
    <t>판매관리비</t>
  </si>
  <si>
    <t>영업이익</t>
  </si>
  <si>
    <t>영업외수익</t>
  </si>
  <si>
    <t>영업외비용</t>
  </si>
  <si>
    <t>법인세차감전순이익</t>
  </si>
  <si>
    <t>법인세비용</t>
  </si>
  <si>
    <t>당기순이익</t>
  </si>
  <si>
    <t>영업이익률(매출액대비)</t>
  </si>
  <si>
    <t>당기순이익률(매출액대비)</t>
  </si>
  <si>
    <t>■ 재무상태 요약  (단위: 천원)</t>
  </si>
  <si>
    <t>당기</t>
  </si>
  <si>
    <t>전기</t>
  </si>
  <si>
    <t>자산총계</t>
  </si>
  <si>
    <t>부채총계</t>
  </si>
  <si>
    <t>자본총계</t>
  </si>
  <si>
    <t>부채비율(부채/자본)</t>
  </si>
  <si>
    <t>■ 월별 추이 (매출액 · 영업이익)  (단위: 천원)</t>
  </si>
  <si>
    <t>월</t>
  </si>
  <si>
    <t>총계</t>
  </si>
  <si>
    <t>특이사항 : 전년동기(1~7월) 영업외비용에 법인세추납액 3,800만원 포함(업무용승용차 비용 불인정 법인세 납부액)</t>
  </si>
  <si>
    <t>재 무 상 태 표</t>
  </si>
  <si>
    <t>㈜창현</t>
  </si>
  <si>
    <t>단위 : 원</t>
  </si>
  <si>
    <t>과  목</t>
  </si>
  <si>
    <t>제 35 (당)기</t>
  </si>
  <si>
    <t>내역</t>
  </si>
  <si>
    <t>제 34 (전)기</t>
  </si>
  <si>
    <t>증감</t>
  </si>
  <si>
    <t>일치확인</t>
  </si>
  <si>
    <t>금    액</t>
  </si>
  <si>
    <t>금   액</t>
  </si>
  <si>
    <t xml:space="preserve"> 자             산 </t>
  </si>
  <si>
    <t xml:space="preserve"> Ⅰ. 유  동    자  산  </t>
  </si>
  <si>
    <t xml:space="preserve"> (1) 당  좌    자  산 </t>
  </si>
  <si>
    <t xml:space="preserve">      현              금</t>
  </si>
  <si>
    <t xml:space="preserve">      보   통    예   금</t>
  </si>
  <si>
    <t xml:space="preserve">      단  기 금 융 상 품</t>
  </si>
  <si>
    <t xml:space="preserve">      외 화 보 통  예 금</t>
  </si>
  <si>
    <t xml:space="preserve">      외  상  매  출  금</t>
  </si>
  <si>
    <t xml:space="preserve">      대  손  충  당  금</t>
  </si>
  <si>
    <t xml:space="preserve">      받   을    어   음</t>
  </si>
  <si>
    <t xml:space="preserve">      단  기  대  여  금</t>
  </si>
  <si>
    <t xml:space="preserve">      미   수    수   익</t>
  </si>
  <si>
    <t>단기채권외</t>
  </si>
  <si>
    <t xml:space="preserve">      미      수      금</t>
  </si>
  <si>
    <t>카드, 구매카드(KnS리테일)</t>
  </si>
  <si>
    <t xml:space="preserve">      선      급      금</t>
  </si>
  <si>
    <t>안현주유소(1백만)</t>
  </si>
  <si>
    <t xml:space="preserve">      선   급    비   용</t>
  </si>
  <si>
    <t>KB,DB손해보험,삼성화재</t>
  </si>
  <si>
    <t xml:space="preserve">      가   지    급   금</t>
  </si>
  <si>
    <t>단기대여 9억(윤인희), 차량과태료외</t>
  </si>
  <si>
    <t xml:space="preserve">      부 가 세  대 급 금</t>
  </si>
  <si>
    <t xml:space="preserve">      선   납    세   금</t>
  </si>
  <si>
    <t>금융투자상품 이자소득세외</t>
  </si>
  <si>
    <t xml:space="preserve"> (2) 재  고    자  산 </t>
  </si>
  <si>
    <t xml:space="preserve">      상              품</t>
  </si>
  <si>
    <t xml:space="preserve"> Ⅱ. 비  유  동  자  산  </t>
  </si>
  <si>
    <t xml:space="preserve"> (1) 투  자    자  산  </t>
  </si>
  <si>
    <t xml:space="preserve">      매 도 가  능 증 권</t>
  </si>
  <si>
    <t xml:space="preserve"> (2) 유  형    자  산  </t>
  </si>
  <si>
    <t xml:space="preserve">      토              지</t>
  </si>
  <si>
    <t xml:space="preserve">      건              물</t>
  </si>
  <si>
    <t xml:space="preserve">      감가 상각 누 계 액</t>
  </si>
  <si>
    <t xml:space="preserve">      기   계    장   치</t>
  </si>
  <si>
    <t xml:space="preserve">      차  량  운  반  구</t>
  </si>
  <si>
    <t xml:space="preserve">      비              품</t>
  </si>
  <si>
    <t xml:space="preserve"> (3) 무  형    자  산 </t>
  </si>
  <si>
    <t xml:space="preserve"> (4) 기타  비유동자산  </t>
  </si>
  <si>
    <t xml:space="preserve">      장 기 외 상 매출금</t>
  </si>
  <si>
    <t xml:space="preserve">      임  차  보  증  금</t>
  </si>
  <si>
    <t>강북 6천,강서 4.5천,영남 3천,본사 5백만</t>
  </si>
  <si>
    <t xml:space="preserve">      기  타  보  증  금</t>
  </si>
  <si>
    <t>리조트골프회원권(3건) 외</t>
  </si>
  <si>
    <t xml:space="preserve">      전신 전화 가 입 권</t>
  </si>
  <si>
    <t>자    산    총    계</t>
  </si>
  <si>
    <t xml:space="preserve"> 부             채 </t>
  </si>
  <si>
    <t xml:space="preserve"> Ⅰ. 유  동    부  채  </t>
  </si>
  <si>
    <t xml:space="preserve">      외  상  매  입  금</t>
  </si>
  <si>
    <t xml:space="preserve">      미   지    급   금</t>
  </si>
  <si>
    <t xml:space="preserve">      예      수      금</t>
  </si>
  <si>
    <t>4대보험외 직원공제분</t>
  </si>
  <si>
    <t xml:space="preserve">      부 가 세 예  수 금</t>
  </si>
  <si>
    <t xml:space="preserve">      가      수      금</t>
  </si>
  <si>
    <t>한국엡손외(연말 결산시 반영)</t>
  </si>
  <si>
    <t xml:space="preserve">      선      수      금</t>
  </si>
  <si>
    <t xml:space="preserve">      미  지  급  세  금</t>
  </si>
  <si>
    <t xml:space="preserve">      미  지  급  비  용</t>
  </si>
  <si>
    <t>당해 급여외 미지급분</t>
  </si>
  <si>
    <t xml:space="preserve">      미 지 급  배 당 금</t>
  </si>
  <si>
    <t xml:space="preserve"> Ⅱ. 비  유  동  부  채  </t>
  </si>
  <si>
    <t xml:space="preserve">      퇴직 급여 충 당 금</t>
  </si>
  <si>
    <t xml:space="preserve">      국민 연금 전 환 금</t>
  </si>
  <si>
    <t>부    채    총    계</t>
  </si>
  <si>
    <t xml:space="preserve"> 자             본 </t>
  </si>
  <si>
    <t xml:space="preserve"> Ⅰ. 자      본      금  </t>
  </si>
  <si>
    <t xml:space="preserve">      자     본       금</t>
  </si>
  <si>
    <t xml:space="preserve"> Ⅱ. 자  본  잉  여  금  </t>
  </si>
  <si>
    <t xml:space="preserve">      주식 발행 초 과 금</t>
  </si>
  <si>
    <t xml:space="preserve"> Ⅲ. 자   본    조   정  </t>
  </si>
  <si>
    <t xml:space="preserve"> Ⅳ. 기타포괄손익누계액  </t>
  </si>
  <si>
    <t xml:space="preserve"> Ⅴ. 이  익  잉  여  금  </t>
  </si>
  <si>
    <t xml:space="preserve">      이  익  준  비  금</t>
  </si>
  <si>
    <t xml:space="preserve">  미처분  이익  잉여금</t>
  </si>
  <si>
    <t xml:space="preserve">   ( 당 기 순 이 익 )</t>
  </si>
  <si>
    <t>자    본    총    계</t>
  </si>
  <si>
    <t>부 채 및 자 본 총 계</t>
  </si>
  <si>
    <t>손익계산서(매출액대비 비율분석)</t>
  </si>
  <si>
    <t>매출액대비 비율</t>
  </si>
  <si>
    <t>비율증감(%p)</t>
  </si>
  <si>
    <t>Ⅰ  . 매      출      액</t>
  </si>
  <si>
    <t xml:space="preserve">      상    품   매   출</t>
  </si>
  <si>
    <t xml:space="preserve">      상 품  수 출 매 출</t>
  </si>
  <si>
    <t>Ⅱ  . 매    출   원   가</t>
  </si>
  <si>
    <t xml:space="preserve">      상 품 매 출  원 가</t>
  </si>
  <si>
    <t xml:space="preserve">        기초  상품  재고액</t>
  </si>
  <si>
    <t xml:space="preserve">        당기 상품 매 입 액</t>
  </si>
  <si>
    <t xml:space="preserve">        매   입   할    인</t>
  </si>
  <si>
    <t xml:space="preserve">        기말  상품  재고액</t>
  </si>
  <si>
    <t>Ⅲ  . 매  출  총  이  익</t>
  </si>
  <si>
    <t>Ⅳ  . 판  매  관  리  비</t>
  </si>
  <si>
    <t>판관비대비 비율</t>
  </si>
  <si>
    <t xml:space="preserve">      직   원    급   여</t>
  </si>
  <si>
    <t xml:space="preserve">      상      여      금</t>
  </si>
  <si>
    <t xml:space="preserve">      연   차    수   당</t>
  </si>
  <si>
    <t xml:space="preserve">      퇴   직    급   여</t>
  </si>
  <si>
    <t xml:space="preserve">      복  리  후  생  비</t>
  </si>
  <si>
    <t xml:space="preserve">      여  비  교  통  비</t>
  </si>
  <si>
    <t xml:space="preserve">      접      대      비</t>
  </si>
  <si>
    <t xml:space="preserve">      통      신      비</t>
  </si>
  <si>
    <t xml:space="preserve">      수  도  광  열  비</t>
  </si>
  <si>
    <t xml:space="preserve">      전      력      비</t>
  </si>
  <si>
    <t xml:space="preserve">      세 금 과  공 과 금</t>
  </si>
  <si>
    <t xml:space="preserve">      감  가  상  각  비</t>
  </si>
  <si>
    <t xml:space="preserve">      지  급  임  차  료</t>
  </si>
  <si>
    <t xml:space="preserve">      보      험      료</t>
  </si>
  <si>
    <t xml:space="preserve">      차  량  유  지  비</t>
  </si>
  <si>
    <t xml:space="preserve">      운      반      비</t>
  </si>
  <si>
    <t xml:space="preserve">      포      장      비</t>
  </si>
  <si>
    <t xml:space="preserve">      소    모   품   비</t>
  </si>
  <si>
    <t xml:space="preserve">      지  급  수  수  료</t>
  </si>
  <si>
    <t xml:space="preserve">      대  손  상  각  비</t>
  </si>
  <si>
    <t xml:space="preserve">      수  출  제  비  용</t>
  </si>
  <si>
    <t>Ⅴ  . 영    업   이   익</t>
  </si>
  <si>
    <t>Ⅵ  . 영  업  외  수  익</t>
  </si>
  <si>
    <t xml:space="preserve">      이    자   수   익</t>
  </si>
  <si>
    <t xml:space="preserve">      외    환  차    익</t>
  </si>
  <si>
    <t xml:space="preserve">      외 화 환 산 이  익</t>
  </si>
  <si>
    <t xml:space="preserve">      유형자산  처분이익</t>
  </si>
  <si>
    <t xml:space="preserve">      투자자산  처분이익</t>
  </si>
  <si>
    <t xml:space="preserve">      금융상품  처분이익</t>
  </si>
  <si>
    <t xml:space="preserve">      잡      이      익</t>
  </si>
  <si>
    <t>Ⅶ  . 영  업  외  비  용</t>
  </si>
  <si>
    <t xml:space="preserve">      이   자    비   용</t>
  </si>
  <si>
    <t xml:space="preserve">      외   환    차   손</t>
  </si>
  <si>
    <t xml:space="preserve">      외 화  환 산 손 실</t>
  </si>
  <si>
    <t xml:space="preserve">      금융상품  평가손실</t>
  </si>
  <si>
    <t xml:space="preserve">      유형자산  처분손실</t>
  </si>
  <si>
    <t xml:space="preserve">      잡      손      실</t>
  </si>
  <si>
    <t xml:space="preserve">      법 인 세  추 납 액</t>
  </si>
  <si>
    <t>Ⅷ  . 법인세비용차감전순이익</t>
  </si>
  <si>
    <t>Ⅸ  . 법  인  세  비  용</t>
  </si>
  <si>
    <t xml:space="preserve">      법   인   세    등</t>
  </si>
  <si>
    <t>Ⅹ  . 당  기  순  이  익</t>
  </si>
  <si>
    <t>계</t>
  </si>
  <si>
    <t>1월</t>
  </si>
  <si>
    <t>2월</t>
  </si>
  <si>
    <t>3월</t>
  </si>
  <si>
    <t>4월</t>
  </si>
  <si>
    <t>5월</t>
  </si>
  <si>
    <t>6월</t>
  </si>
  <si>
    <t>증감액                         (전월대비)</t>
  </si>
  <si>
    <t>증감                (전월대비)</t>
  </si>
  <si>
    <t>6월: 총36명, 7월: 총36명</t>
  </si>
  <si>
    <t>6월:상반기 퇴직연금 불입</t>
  </si>
  <si>
    <t>건강(요양)보험 회사부담금</t>
  </si>
  <si>
    <t>출장경비</t>
  </si>
  <si>
    <t>전지사 전화/인터넷요금, 개인별 휴대폰 지원금, 우편등기외</t>
  </si>
  <si>
    <t>전지사 수도광열비</t>
  </si>
  <si>
    <t>전지사 전기요금</t>
  </si>
  <si>
    <t>국민연금 회사부담금, 자동차세</t>
  </si>
  <si>
    <t>유형자산(건물, 차량, 기계장치, 비품) 감가상각</t>
  </si>
  <si>
    <t>구리본사:100만원, 강북:500만원, 강서:450만원, 영남:300만원</t>
  </si>
  <si>
    <t>고용/산재보험료, 차량보험료</t>
  </si>
  <si>
    <t>차량주유비, 수리비, 통행료, 주차비외 &lt;차량별 비용분석자료 참고&gt;</t>
  </si>
  <si>
    <t>본사전담택배, 퀵, 택배, 화물외 &lt;개인별 운송비 분석자료 참고&gt;</t>
  </si>
  <si>
    <t>수출포장료</t>
  </si>
  <si>
    <t>전지사 소모품비</t>
  </si>
  <si>
    <t>카드수수료, 차량렌트료(6대), 기타외</t>
  </si>
  <si>
    <t>대손금 충당액</t>
  </si>
  <si>
    <t>수출입통관</t>
  </si>
  <si>
    <t>단기금융상품 이자수익</t>
  </si>
  <si>
    <t>단기대여금이자(윤인희)외</t>
  </si>
  <si>
    <t>16,824,297,117</t>
  </si>
  <si>
    <t>16,586,842,935</t>
  </si>
  <si>
    <t>13,960,681,681</t>
  </si>
  <si>
    <t>14,460,731,833</t>
  </si>
  <si>
    <t>3,244,781</t>
  </si>
  <si>
    <t>6,782,551</t>
  </si>
  <si>
    <t>1,660,518,435</t>
  </si>
  <si>
    <t>3,125,443,636</t>
  </si>
  <si>
    <t>6,800,000,000</t>
  </si>
  <si>
    <t>7,100,000,000</t>
  </si>
  <si>
    <t>588,242,162</t>
  </si>
  <si>
    <t>715,753,523</t>
  </si>
  <si>
    <t>3,642,484,006</t>
  </si>
  <si>
    <t>3,196,105,509</t>
  </si>
  <si>
    <t>156,987,179</t>
  </si>
  <si>
    <t>3,485,496,827</t>
  </si>
  <si>
    <t>3,039,118,330</t>
  </si>
  <si>
    <t>55,512,824</t>
  </si>
  <si>
    <t>17,134,890</t>
  </si>
  <si>
    <t>171,300</t>
  </si>
  <si>
    <t>55,341,524</t>
  </si>
  <si>
    <t>16,963,590</t>
  </si>
  <si>
    <t>15,136,465</t>
  </si>
  <si>
    <t>253,437,222</t>
  </si>
  <si>
    <t>398,047,074</t>
  </si>
  <si>
    <t>1,000,000</t>
  </si>
  <si>
    <t>1,240,000</t>
  </si>
  <si>
    <t>4,048,315</t>
  </si>
  <si>
    <t>9,711,144</t>
  </si>
  <si>
    <t>900,032,000</t>
  </si>
  <si>
    <t>176,643,510</t>
  </si>
  <si>
    <t>17,540,440</t>
  </si>
  <si>
    <t>32,535,520</t>
  </si>
  <si>
    <t>2,863,615,436</t>
  </si>
  <si>
    <t>2,126,111,102</t>
  </si>
  <si>
    <t>4,059,473,199</t>
  </si>
  <si>
    <t>4,055,552,394</t>
  </si>
  <si>
    <t>28,125,000</t>
  </si>
  <si>
    <t>3,362,652,339</t>
  </si>
  <si>
    <t>3,358,731,534</t>
  </si>
  <si>
    <t>2,542,043,170</t>
  </si>
  <si>
    <t>877,003,320</t>
  </si>
  <si>
    <t>255,647,445</t>
  </si>
  <si>
    <t>621,355,875</t>
  </si>
  <si>
    <t>242,857,808</t>
  </si>
  <si>
    <t>634,145,512</t>
  </si>
  <si>
    <t>47,784,000</t>
  </si>
  <si>
    <t>47,775,000</t>
  </si>
  <si>
    <t>9,000</t>
  </si>
  <si>
    <t>921,090,734</t>
  </si>
  <si>
    <t>899,846,520</t>
  </si>
  <si>
    <t>726,391,724</t>
  </si>
  <si>
    <t>194,699,010</t>
  </si>
  <si>
    <t>723,464,949</t>
  </si>
  <si>
    <t>176,381,571</t>
  </si>
  <si>
    <t>223,445,463</t>
  </si>
  <si>
    <t>218,900,179</t>
  </si>
  <si>
    <t>4,545,284</t>
  </si>
  <si>
    <t>217,293,182</t>
  </si>
  <si>
    <t>6,152,281</t>
  </si>
  <si>
    <t>668,695,860</t>
  </si>
  <si>
    <t>140,000,000</t>
  </si>
  <si>
    <t>528,095,860</t>
  </si>
  <si>
    <t>600,000</t>
  </si>
  <si>
    <t>20,883,770,316</t>
  </si>
  <si>
    <t>20,642,395,329</t>
  </si>
  <si>
    <t>2,135,947,156</t>
  </si>
  <si>
    <t>3,372,146,535</t>
  </si>
  <si>
    <t>1,572,571,800</t>
  </si>
  <si>
    <t>2,183,714,801</t>
  </si>
  <si>
    <t>55,401,086</t>
  </si>
  <si>
    <t>189,842,586</t>
  </si>
  <si>
    <t>28,248,500</t>
  </si>
  <si>
    <t>212,932,480</t>
  </si>
  <si>
    <t>230,664,206</t>
  </si>
  <si>
    <t>43,441,422</t>
  </si>
  <si>
    <t>1,490,000</t>
  </si>
  <si>
    <t>152,398,250</t>
  </si>
  <si>
    <t>204,130,142</t>
  </si>
  <si>
    <t>631,768,418</t>
  </si>
  <si>
    <t>-65,700</t>
  </si>
  <si>
    <t>174,190,680</t>
  </si>
  <si>
    <t>174,256,380</t>
  </si>
  <si>
    <t>2,135,881,456</t>
  </si>
  <si>
    <t>3,546,337,215</t>
  </si>
  <si>
    <t>712,500,000</t>
  </si>
  <si>
    <t>3,051,482,755</t>
  </si>
  <si>
    <t>14,983,906,105</t>
  </si>
  <si>
    <t>13,332,075,359</t>
  </si>
  <si>
    <t>66,000,000</t>
  </si>
  <si>
    <t>46,000,000</t>
  </si>
  <si>
    <t>14,917,906,105</t>
  </si>
  <si>
    <t>13,286,075,359</t>
  </si>
  <si>
    <t xml:space="preserve">   당기 :     1,851,830,746</t>
  </si>
  <si>
    <t xml:space="preserve">   전기 :     1,412,482,819</t>
  </si>
  <si>
    <t>18,747,888,860</t>
  </si>
  <si>
    <t>17,096,058,114</t>
  </si>
  <si>
    <t>7월</t>
  </si>
  <si>
    <t>8월</t>
  </si>
  <si>
    <t>9월</t>
  </si>
  <si>
    <t>10월</t>
  </si>
  <si>
    <t>11월</t>
  </si>
  <si>
    <t>12월</t>
  </si>
  <si>
    <t xml:space="preserve">      유형자산 처분 이익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</si>
</sst>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\-mm\-dd"/>
    <numFmt numFmtId="177" formatCode="#,##0,;\(#,##0,\);\-"/>
    <numFmt numFmtId="178" formatCode="\+0.0%;\-0.0%;0.0%"/>
    <numFmt numFmtId="179" formatCode="#,##0_);[Red]\(#,##0\)"/>
    <numFmt numFmtId="180" formatCode="###,##0"/>
    <numFmt numFmtId="181" formatCode="0.0%"/>
  </numFmts>
  <fonts count="42">
    <font>
      <sz val="9"/>
      <color rgb="FF000000"/>
      <name val="굴림체"/>
      <family val="3"/>
      <charset val="129"/>
    </font>
    <font>
      <b/>
      <sz val="18"/>
      <color rgb="FFFFFFFF"/>
      <name val="굴림체"/>
      <family val="3"/>
      <charset val="129"/>
    </font>
    <font>
      <b/>
      <sz val="11"/>
      <name val="Noto Sans CJK SC"/>
      <charset val="1"/>
    </font>
    <font>
      <sz val="12"/>
      <color rgb="FF0000FF"/>
      <name val="Noto Sans CJK SC"/>
      <charset val="1"/>
    </font>
    <font>
      <i/>
      <sz val="9"/>
      <color rgb="FF808080"/>
      <name val="Noto Sans CJK SC"/>
      <charset val="1"/>
    </font>
    <font>
      <b/>
      <sz val="14"/>
      <color rgb="FFFFFFFF"/>
      <name val="굴림체"/>
      <family val="3"/>
      <charset val="129"/>
    </font>
    <font>
      <b/>
      <sz val="12"/>
      <color rgb="FF1F4E78"/>
      <name val="굴림체"/>
      <family val="3"/>
      <charset val="129"/>
    </font>
    <font>
      <b/>
      <sz val="12"/>
      <color rgb="FF1F4E78"/>
      <name val="Noto Sans CJK SC"/>
      <charset val="1"/>
    </font>
    <font>
      <sz val="12"/>
      <color rgb="FF000000"/>
      <name val="굴림체"/>
      <family val="3"/>
      <charset val="129"/>
    </font>
    <font>
      <sz val="11"/>
      <name val="Noto Sans CJK SC"/>
      <family val="3"/>
      <charset val="129"/>
    </font>
    <font>
      <sz val="11"/>
      <name val="Noto Sans CJK SC"/>
      <charset val="1"/>
    </font>
    <font>
      <sz val="9"/>
      <color rgb="FF000000"/>
      <name val="Noto Sans CJK SC"/>
      <family val="2"/>
    </font>
    <font>
      <b/>
      <sz val="11"/>
      <name val="Noto Sans CJK SC"/>
      <family val="2"/>
    </font>
    <font>
      <b/>
      <sz val="16"/>
      <color rgb="FFFFFFFF"/>
      <name val="Noto Sans CJK SC"/>
      <charset val="1"/>
    </font>
    <font>
      <sz val="10"/>
      <color rgb="FF595959"/>
      <name val="Noto Sans CJK SC"/>
      <charset val="1"/>
    </font>
    <font>
      <b/>
      <sz val="11"/>
      <color rgb="FF1F4E78"/>
      <name val="Noto Sans CJK SC"/>
      <charset val="1"/>
    </font>
    <font>
      <b/>
      <sz val="11"/>
      <color rgb="FFFFFFFF"/>
      <name val="Noto Sans CJK SC"/>
      <family val="3"/>
      <charset val="129"/>
    </font>
    <font>
      <b/>
      <sz val="11"/>
      <color rgb="FFFFFFFF"/>
      <name val="Noto Sans CJK SC"/>
      <charset val="1"/>
    </font>
    <font>
      <b/>
      <sz val="11"/>
      <color rgb="FF1F4E78"/>
      <name val="Noto Sans CJK SC"/>
      <family val="3"/>
      <charset val="129"/>
    </font>
    <font>
      <sz val="11"/>
      <color rgb="FF595959"/>
      <name val="Noto Sans CJK SC"/>
      <charset val="1"/>
    </font>
    <font>
      <i/>
      <sz val="11"/>
      <color rgb="FF595959"/>
      <name val="Noto Sans CJK SC"/>
      <charset val="1"/>
    </font>
    <font>
      <b/>
      <sz val="11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/>
      <sz val="13"/>
      <color rgb="FFFFFFFF"/>
      <name val="Noto Sans CJK SC"/>
      <charset val="1"/>
    </font>
    <font>
      <b/>
      <sz val="14"/>
      <color rgb="FF000000"/>
      <name val="굴림체"/>
      <family val="3"/>
      <charset val="129"/>
    </font>
    <font>
      <sz val="14"/>
      <color rgb="FF000000"/>
      <name val="굴림체"/>
      <family val="3"/>
      <charset val="129"/>
    </font>
    <font>
      <b/>
      <sz val="9"/>
      <name val="Noto Sans CJK SC"/>
      <charset val="1"/>
    </font>
    <font>
      <b/>
      <sz val="9"/>
      <color rgb="FF1F4E78"/>
      <name val="Noto Sans CJK SC"/>
      <charset val="1"/>
    </font>
    <font>
      <sz val="9"/>
      <color rgb="FF000000"/>
      <name val="Noto Sans CJK SC"/>
      <family val="2"/>
      <charset val="1"/>
    </font>
    <font>
      <b/>
      <sz val="10"/>
      <name val="Noto Sans CJK SC"/>
      <charset val="1"/>
    </font>
    <font>
      <sz val="9"/>
      <color rgb="FF333333"/>
      <name val="Noto Sans CJK SC"/>
      <family val="2"/>
      <charset val="1"/>
    </font>
    <font>
      <sz val="9"/>
      <color rgb="FF333333"/>
      <name val="굴림체"/>
      <family val="3"/>
      <charset val="129"/>
    </font>
    <font>
      <b/>
      <sz val="9"/>
      <name val="굴림체"/>
      <family val="3"/>
      <charset val="129"/>
    </font>
    <font>
      <sz val="9"/>
      <color rgb="FF333333"/>
      <name val="Noto Sans CJK SC"/>
      <family val="2"/>
    </font>
    <font>
      <sz val="9"/>
      <color rgb="FF333333"/>
      <name val="Noto Sans CJK SC"/>
      <family val="3"/>
      <charset val="129"/>
    </font>
    <font>
      <sz val="9"/>
      <color rgb="FFFF0000"/>
      <name val="굴림체"/>
      <family val="3"/>
      <charset val="129"/>
    </font>
    <font>
      <sz val="9"/>
      <name val="굴림체"/>
      <family val="3"/>
      <charset val="129"/>
    </font>
    <font>
      <b/>
      <sz val="9"/>
      <color rgb="FF1F4E78"/>
      <name val="Noto Sans CJK SC"/>
      <family val="3"/>
      <charset val="129"/>
    </font>
    <font>
      <sz val="9"/>
      <color rgb="FF000000"/>
      <name val="Noto Sans CJK SC"/>
      <family val="3"/>
      <charset val="129"/>
    </font>
    <font>
      <sz val="9"/>
      <name val="Noto Sans CJK SC"/>
      <family val="2"/>
      <charset val="1"/>
    </font>
    <font>
      <sz val="9"/>
      <color rgb="FF000000"/>
      <name val="굴림체"/>
      <family val="3"/>
      <charset val="129"/>
    </font>
    <font>
      <sz val="8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3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</borders>
  <cellStyleXfs count="2">
    <xf numFmtId="0" fontId="0" fillId="0" borderId="0"/>
    <xf numFmtId="0" fontId="40" fillId="0" borderId="0"/>
  </cellStyleXfs>
  <cellXfs count="163">
    <xf numFmtId="0" fontId="0" fillId="0" borderId="0" xfId="0"/>
    <xf numFmtId="0" fontId="15" fillId="5" borderId="4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176" fontId="0" fillId="0" borderId="0" xfId="0" applyNumberFormat="1"/>
    <xf numFmtId="0" fontId="6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3" xfId="0" applyBorder="1"/>
    <xf numFmtId="0" fontId="7" fillId="0" borderId="0" xfId="0" applyFont="1"/>
    <xf numFmtId="0" fontId="18" fillId="5" borderId="5" xfId="0" applyFont="1" applyFill="1" applyBorder="1" applyAlignment="1">
      <alignment horizontal="center" vertical="center" wrapText="1"/>
    </xf>
    <xf numFmtId="0" fontId="18" fillId="5" borderId="6" xfId="0" applyFont="1" applyFill="1" applyBorder="1" applyAlignment="1">
      <alignment horizontal="center" vertical="center" wrapText="1"/>
    </xf>
    <xf numFmtId="0" fontId="15" fillId="5" borderId="6" xfId="0" applyFont="1" applyFill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5" fillId="5" borderId="5" xfId="0" applyFont="1" applyFill="1" applyBorder="1" applyAlignment="1">
      <alignment horizontal="center" vertical="center" wrapText="1"/>
    </xf>
    <xf numFmtId="0" fontId="2" fillId="7" borderId="8" xfId="0" applyFont="1" applyFill="1" applyBorder="1"/>
    <xf numFmtId="177" fontId="2" fillId="7" borderId="9" xfId="0" applyNumberFormat="1" applyFont="1" applyFill="1" applyBorder="1"/>
    <xf numFmtId="177" fontId="2" fillId="7" borderId="10" xfId="0" applyNumberFormat="1" applyFont="1" applyFill="1" applyBorder="1"/>
    <xf numFmtId="178" fontId="2" fillId="7" borderId="11" xfId="0" applyNumberFormat="1" applyFont="1" applyFill="1" applyBorder="1"/>
    <xf numFmtId="0" fontId="10" fillId="0" borderId="12" xfId="0" applyFont="1" applyBorder="1"/>
    <xf numFmtId="177" fontId="10" fillId="0" borderId="13" xfId="0" applyNumberFormat="1" applyFont="1" applyBorder="1"/>
    <xf numFmtId="177" fontId="10" fillId="0" borderId="1" xfId="0" applyNumberFormat="1" applyFont="1" applyBorder="1"/>
    <xf numFmtId="178" fontId="10" fillId="0" borderId="14" xfId="0" applyNumberFormat="1" applyFont="1" applyBorder="1"/>
    <xf numFmtId="0" fontId="2" fillId="7" borderId="12" xfId="0" applyFont="1" applyFill="1" applyBorder="1"/>
    <xf numFmtId="177" fontId="2" fillId="7" borderId="13" xfId="0" applyNumberFormat="1" applyFont="1" applyFill="1" applyBorder="1"/>
    <xf numFmtId="177" fontId="2" fillId="7" borderId="1" xfId="0" applyNumberFormat="1" applyFont="1" applyFill="1" applyBorder="1"/>
    <xf numFmtId="178" fontId="2" fillId="7" borderId="14" xfId="0" applyNumberFormat="1" applyFont="1" applyFill="1" applyBorder="1"/>
    <xf numFmtId="0" fontId="19" fillId="0" borderId="12" xfId="0" applyFont="1" applyBorder="1"/>
    <xf numFmtId="178" fontId="20" fillId="0" borderId="13" xfId="0" applyNumberFormat="1" applyFont="1" applyBorder="1"/>
    <xf numFmtId="178" fontId="20" fillId="0" borderId="1" xfId="0" applyNumberFormat="1" applyFont="1" applyBorder="1"/>
    <xf numFmtId="0" fontId="20" fillId="0" borderId="1" xfId="0" applyFont="1" applyBorder="1"/>
    <xf numFmtId="0" fontId="20" fillId="0" borderId="14" xfId="0" applyFont="1" applyBorder="1"/>
    <xf numFmtId="0" fontId="19" fillId="0" borderId="15" xfId="0" applyFont="1" applyBorder="1"/>
    <xf numFmtId="178" fontId="20" fillId="0" borderId="5" xfId="0" applyNumberFormat="1" applyFont="1" applyBorder="1"/>
    <xf numFmtId="178" fontId="20" fillId="0" borderId="6" xfId="0" applyNumberFormat="1" applyFont="1" applyBorder="1"/>
    <xf numFmtId="0" fontId="20" fillId="0" borderId="6" xfId="0" applyFont="1" applyBorder="1"/>
    <xf numFmtId="0" fontId="20" fillId="0" borderId="7" xfId="0" applyFont="1" applyBorder="1"/>
    <xf numFmtId="0" fontId="15" fillId="5" borderId="16" xfId="0" applyFont="1" applyFill="1" applyBorder="1" applyAlignment="1">
      <alignment horizontal="center" vertical="center" wrapText="1"/>
    </xf>
    <xf numFmtId="0" fontId="15" fillId="5" borderId="17" xfId="0" applyFont="1" applyFill="1" applyBorder="1" applyAlignment="1">
      <alignment horizontal="center" vertical="center" wrapText="1"/>
    </xf>
    <xf numFmtId="0" fontId="15" fillId="5" borderId="18" xfId="0" applyFont="1" applyFill="1" applyBorder="1" applyAlignment="1">
      <alignment horizontal="center" vertical="center" wrapText="1"/>
    </xf>
    <xf numFmtId="0" fontId="15" fillId="5" borderId="19" xfId="0" applyFont="1" applyFill="1" applyBorder="1" applyAlignment="1">
      <alignment horizontal="center" vertical="center" wrapText="1"/>
    </xf>
    <xf numFmtId="0" fontId="2" fillId="7" borderId="20" xfId="0" applyFont="1" applyFill="1" applyBorder="1"/>
    <xf numFmtId="177" fontId="2" fillId="7" borderId="11" xfId="0" applyNumberFormat="1" applyFont="1" applyFill="1" applyBorder="1"/>
    <xf numFmtId="177" fontId="2" fillId="7" borderId="21" xfId="0" applyNumberFormat="1" applyFont="1" applyFill="1" applyBorder="1"/>
    <xf numFmtId="0" fontId="2" fillId="7" borderId="22" xfId="0" applyFont="1" applyFill="1" applyBorder="1"/>
    <xf numFmtId="177" fontId="2" fillId="7" borderId="14" xfId="0" applyNumberFormat="1" applyFont="1" applyFill="1" applyBorder="1"/>
    <xf numFmtId="177" fontId="2" fillId="7" borderId="23" xfId="0" applyNumberFormat="1" applyFont="1" applyFill="1" applyBorder="1"/>
    <xf numFmtId="0" fontId="19" fillId="0" borderId="24" xfId="0" applyFont="1" applyBorder="1" applyAlignment="1">
      <alignment horizontal="left"/>
    </xf>
    <xf numFmtId="178" fontId="20" fillId="0" borderId="7" xfId="0" applyNumberFormat="1" applyFont="1" applyBorder="1"/>
    <xf numFmtId="0" fontId="20" fillId="0" borderId="25" xfId="0" applyFont="1" applyBorder="1"/>
    <xf numFmtId="0" fontId="10" fillId="0" borderId="8" xfId="0" applyFont="1" applyBorder="1" applyAlignment="1">
      <alignment horizontal="center"/>
    </xf>
    <xf numFmtId="177" fontId="10" fillId="0" borderId="9" xfId="0" applyNumberFormat="1" applyFont="1" applyBorder="1"/>
    <xf numFmtId="177" fontId="10" fillId="0" borderId="11" xfId="0" applyNumberFormat="1" applyFont="1" applyBorder="1"/>
    <xf numFmtId="0" fontId="10" fillId="0" borderId="12" xfId="0" applyFont="1" applyBorder="1" applyAlignment="1">
      <alignment horizontal="center"/>
    </xf>
    <xf numFmtId="177" fontId="10" fillId="0" borderId="14" xfId="0" applyNumberFormat="1" applyFont="1" applyBorder="1"/>
    <xf numFmtId="0" fontId="21" fillId="7" borderId="26" xfId="0" applyFont="1" applyFill="1" applyBorder="1" applyAlignment="1">
      <alignment horizontal="center"/>
    </xf>
    <xf numFmtId="177" fontId="2" fillId="7" borderId="27" xfId="0" applyNumberFormat="1" applyFont="1" applyFill="1" applyBorder="1"/>
    <xf numFmtId="177" fontId="2" fillId="7" borderId="28" xfId="0" applyNumberFormat="1" applyFont="1" applyFill="1" applyBorder="1"/>
    <xf numFmtId="0" fontId="24" fillId="0" borderId="0" xfId="0" applyFont="1"/>
    <xf numFmtId="0" fontId="25" fillId="0" borderId="0" xfId="0" applyFont="1" applyAlignment="1">
      <alignment horizontal="center"/>
    </xf>
    <xf numFmtId="0" fontId="26" fillId="0" borderId="0" xfId="0" applyFont="1"/>
    <xf numFmtId="0" fontId="28" fillId="0" borderId="0" xfId="0" applyFont="1"/>
    <xf numFmtId="0" fontId="28" fillId="0" borderId="0" xfId="0" applyFont="1" applyAlignment="1">
      <alignment horizontal="right"/>
    </xf>
    <xf numFmtId="49" fontId="27" fillId="5" borderId="1" xfId="0" applyNumberFormat="1" applyFont="1" applyFill="1" applyBorder="1" applyAlignment="1">
      <alignment horizontal="center" vertical="center"/>
    </xf>
    <xf numFmtId="0" fontId="29" fillId="9" borderId="0" xfId="0" applyFont="1" applyFill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1" fillId="0" borderId="1" xfId="0" applyFont="1" applyBorder="1" applyAlignment="1">
      <alignment horizontal="right" vertical="center"/>
    </xf>
    <xf numFmtId="0" fontId="31" fillId="0" borderId="1" xfId="0" applyFont="1" applyBorder="1" applyAlignment="1">
      <alignment horizontal="right" vertical="center" wrapText="1"/>
    </xf>
    <xf numFmtId="179" fontId="31" fillId="0" borderId="1" xfId="0" applyNumberFormat="1" applyFont="1" applyBorder="1" applyAlignment="1">
      <alignment horizontal="right" vertical="center" wrapText="1"/>
    </xf>
    <xf numFmtId="0" fontId="28" fillId="0" borderId="1" xfId="0" applyFont="1" applyBorder="1"/>
    <xf numFmtId="0" fontId="28" fillId="0" borderId="1" xfId="0" applyFont="1" applyBorder="1" applyAlignment="1">
      <alignment horizontal="center" vertical="center"/>
    </xf>
    <xf numFmtId="178" fontId="0" fillId="0" borderId="1" xfId="0" applyNumberFormat="1" applyBorder="1"/>
    <xf numFmtId="0" fontId="32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right" vertical="center"/>
    </xf>
    <xf numFmtId="3" fontId="31" fillId="7" borderId="1" xfId="0" applyNumberFormat="1" applyFont="1" applyFill="1" applyBorder="1" applyAlignment="1">
      <alignment horizontal="right" vertical="center"/>
    </xf>
    <xf numFmtId="0" fontId="31" fillId="7" borderId="1" xfId="0" applyFont="1" applyFill="1" applyBorder="1" applyAlignment="1">
      <alignment horizontal="right" vertical="center" wrapText="1"/>
    </xf>
    <xf numFmtId="179" fontId="31" fillId="7" borderId="1" xfId="0" applyNumberFormat="1" applyFont="1" applyFill="1" applyBorder="1" applyAlignment="1">
      <alignment horizontal="right" vertical="center" wrapText="1"/>
    </xf>
    <xf numFmtId="0" fontId="0" fillId="7" borderId="1" xfId="0" applyFill="1" applyBorder="1"/>
    <xf numFmtId="0" fontId="28" fillId="7" borderId="1" xfId="0" applyFont="1" applyFill="1" applyBorder="1" applyAlignment="1">
      <alignment horizontal="center" vertical="center"/>
    </xf>
    <xf numFmtId="178" fontId="0" fillId="7" borderId="1" xfId="0" applyNumberFormat="1" applyFill="1" applyBorder="1"/>
    <xf numFmtId="0" fontId="31" fillId="0" borderId="1" xfId="0" applyFont="1" applyBorder="1" applyAlignment="1">
      <alignment horizontal="left" vertical="center"/>
    </xf>
    <xf numFmtId="3" fontId="31" fillId="0" borderId="1" xfId="0" applyNumberFormat="1" applyFont="1" applyBorder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4" fillId="0" borderId="1" xfId="0" applyFont="1" applyBorder="1" applyAlignment="1">
      <alignment horizontal="left" vertical="center" wrapText="1"/>
    </xf>
    <xf numFmtId="0" fontId="30" fillId="7" borderId="1" xfId="0" applyFont="1" applyFill="1" applyBorder="1" applyAlignment="1">
      <alignment horizontal="left" vertical="center" wrapText="1"/>
    </xf>
    <xf numFmtId="0" fontId="26" fillId="7" borderId="1" xfId="0" applyFont="1" applyFill="1" applyBorder="1" applyAlignment="1">
      <alignment horizontal="left" vertical="center"/>
    </xf>
    <xf numFmtId="0" fontId="31" fillId="7" borderId="1" xfId="0" applyFont="1" applyFill="1" applyBorder="1" applyAlignment="1">
      <alignment horizontal="left" vertical="center" wrapText="1"/>
    </xf>
    <xf numFmtId="0" fontId="0" fillId="0" borderId="1" xfId="0" applyBorder="1"/>
    <xf numFmtId="180" fontId="31" fillId="7" borderId="1" xfId="0" applyNumberFormat="1" applyFont="1" applyFill="1" applyBorder="1" applyAlignment="1">
      <alignment horizontal="right" vertical="center" wrapText="1"/>
    </xf>
    <xf numFmtId="10" fontId="31" fillId="7" borderId="1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78" fontId="0" fillId="0" borderId="0" xfId="0" applyNumberFormat="1"/>
    <xf numFmtId="180" fontId="31" fillId="0" borderId="1" xfId="0" applyNumberFormat="1" applyFont="1" applyBorder="1" applyAlignment="1">
      <alignment horizontal="right" vertical="center" wrapText="1"/>
    </xf>
    <xf numFmtId="10" fontId="31" fillId="0" borderId="1" xfId="0" applyNumberFormat="1" applyFont="1" applyBorder="1" applyAlignment="1">
      <alignment horizontal="right" vertical="center" wrapText="1"/>
    </xf>
    <xf numFmtId="0" fontId="28" fillId="0" borderId="0" xfId="0" applyFont="1" applyAlignment="1">
      <alignment horizontal="center"/>
    </xf>
    <xf numFmtId="181" fontId="35" fillId="0" borderId="0" xfId="0" applyNumberFormat="1" applyFont="1"/>
    <xf numFmtId="181" fontId="0" fillId="0" borderId="0" xfId="0" applyNumberFormat="1"/>
    <xf numFmtId="181" fontId="36" fillId="0" borderId="0" xfId="0" applyNumberFormat="1" applyFont="1"/>
    <xf numFmtId="0" fontId="34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28" fillId="0" borderId="0" xfId="0" applyFont="1" applyAlignment="1">
      <alignment horizontal="right" vertical="center"/>
    </xf>
    <xf numFmtId="49" fontId="37" fillId="5" borderId="1" xfId="0" applyNumberFormat="1" applyFont="1" applyFill="1" applyBorder="1" applyAlignment="1">
      <alignment horizontal="center" vertical="center" wrapText="1"/>
    </xf>
    <xf numFmtId="0" fontId="32" fillId="7" borderId="1" xfId="0" applyFont="1" applyFill="1" applyBorder="1" applyAlignment="1">
      <alignment vertical="center"/>
    </xf>
    <xf numFmtId="0" fontId="30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vertical="center"/>
    </xf>
    <xf numFmtId="0" fontId="30" fillId="0" borderId="1" xfId="0" applyFont="1" applyBorder="1" applyAlignment="1">
      <alignment vertical="center"/>
    </xf>
    <xf numFmtId="0" fontId="3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80" fontId="30" fillId="0" borderId="1" xfId="0" applyNumberFormat="1" applyFont="1" applyBorder="1" applyAlignment="1">
      <alignment horizontal="right" vertical="center" wrapText="1"/>
    </xf>
    <xf numFmtId="180" fontId="30" fillId="7" borderId="1" xfId="0" applyNumberFormat="1" applyFont="1" applyFill="1" applyBorder="1" applyAlignment="1">
      <alignment horizontal="right" vertical="center" wrapText="1"/>
    </xf>
    <xf numFmtId="0" fontId="30" fillId="0" borderId="1" xfId="0" applyFont="1" applyBorder="1" applyAlignment="1">
      <alignment horizontal="center" vertical="center" wrapText="1"/>
    </xf>
    <xf numFmtId="0" fontId="3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/>
    </xf>
    <xf numFmtId="0" fontId="28" fillId="0" borderId="1" xfId="0" applyFont="1" applyBorder="1" applyAlignment="1">
      <alignment vertical="center" wrapText="1"/>
    </xf>
    <xf numFmtId="180" fontId="0" fillId="0" borderId="0" xfId="0" applyNumberFormat="1"/>
    <xf numFmtId="49" fontId="39" fillId="10" borderId="30" xfId="0" applyNumberFormat="1" applyFont="1" applyFill="1" applyBorder="1" applyAlignment="1">
      <alignment horizontal="center" vertical="center"/>
    </xf>
    <xf numFmtId="0" fontId="30" fillId="0" borderId="4" xfId="0" applyFont="1" applyBorder="1" applyAlignment="1">
      <alignment horizontal="left" vertical="center"/>
    </xf>
    <xf numFmtId="0" fontId="31" fillId="0" borderId="4" xfId="0" applyFont="1" applyBorder="1" applyAlignment="1">
      <alignment horizontal="right" vertical="center"/>
    </xf>
    <xf numFmtId="0" fontId="31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left" vertical="center"/>
    </xf>
    <xf numFmtId="49" fontId="36" fillId="10" borderId="30" xfId="0" applyNumberFormat="1" applyFont="1" applyFill="1" applyBorder="1" applyAlignment="1">
      <alignment horizontal="center" vertical="center"/>
    </xf>
    <xf numFmtId="180" fontId="31" fillId="0" borderId="4" xfId="0" applyNumberFormat="1" applyFont="1" applyBorder="1" applyAlignment="1">
      <alignment horizontal="right" vertical="center" wrapText="1"/>
    </xf>
    <xf numFmtId="180" fontId="31" fillId="0" borderId="0" xfId="0" applyNumberFormat="1" applyFont="1" applyAlignment="1">
      <alignment horizontal="right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7" fillId="5" borderId="1" xfId="0" applyFont="1" applyFill="1" applyBorder="1" applyAlignment="1">
      <alignment horizontal="center" vertical="center"/>
    </xf>
    <xf numFmtId="0" fontId="0" fillId="0" borderId="32" xfId="0" applyBorder="1"/>
    <xf numFmtId="0" fontId="0" fillId="0" borderId="23" xfId="0" applyBorder="1"/>
    <xf numFmtId="0" fontId="0" fillId="0" borderId="2" xfId="0" applyBorder="1"/>
    <xf numFmtId="0" fontId="0" fillId="0" borderId="31" xfId="0" applyBorder="1"/>
    <xf numFmtId="0" fontId="12" fillId="5" borderId="4" xfId="0" applyFont="1" applyFill="1" applyBorder="1" applyAlignment="1">
      <alignment horizontal="center" vertical="center"/>
    </xf>
    <xf numFmtId="0" fontId="0" fillId="0" borderId="26" xfId="0" applyBorder="1"/>
    <xf numFmtId="0" fontId="10" fillId="0" borderId="1" xfId="0" applyFont="1" applyBorder="1" applyAlignment="1">
      <alignment horizontal="left" vertical="center"/>
    </xf>
    <xf numFmtId="0" fontId="5" fillId="4" borderId="0" xfId="0" applyFont="1" applyFill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11" fillId="5" borderId="2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5" fillId="5" borderId="4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top" wrapText="1"/>
    </xf>
    <xf numFmtId="0" fontId="17" fillId="2" borderId="2" xfId="0" applyFont="1" applyFill="1" applyBorder="1" applyAlignment="1">
      <alignment horizontal="center"/>
    </xf>
    <xf numFmtId="0" fontId="0" fillId="0" borderId="3" xfId="0" applyBorder="1"/>
    <xf numFmtId="0" fontId="0" fillId="0" borderId="33" xfId="0" applyBorder="1"/>
    <xf numFmtId="0" fontId="14" fillId="0" borderId="0" xfId="0" applyFont="1" applyAlignment="1">
      <alignment horizontal="center"/>
    </xf>
    <xf numFmtId="0" fontId="16" fillId="4" borderId="2" xfId="0" applyFont="1" applyFill="1" applyBorder="1" applyAlignment="1">
      <alignment horizontal="center"/>
    </xf>
    <xf numFmtId="0" fontId="23" fillId="2" borderId="0" xfId="0" applyFont="1" applyFill="1" applyAlignment="1">
      <alignment horizontal="center" vertical="center"/>
    </xf>
    <xf numFmtId="49" fontId="27" fillId="5" borderId="1" xfId="0" applyNumberFormat="1" applyFont="1" applyFill="1" applyBorder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0" fillId="0" borderId="34" xfId="0" applyBorder="1"/>
    <xf numFmtId="0" fontId="0" fillId="0" borderId="0" xfId="0" applyAlignment="1">
      <alignment vertical="center"/>
    </xf>
    <xf numFmtId="49" fontId="27" fillId="5" borderId="1" xfId="0" applyNumberFormat="1" applyFont="1" applyFill="1" applyBorder="1" applyAlignment="1">
      <alignment horizontal="center" vertical="center" wrapText="1"/>
    </xf>
    <xf numFmtId="0" fontId="15" fillId="8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39" fillId="10" borderId="29" xfId="0" applyNumberFormat="1" applyFont="1" applyFill="1" applyBorder="1" applyAlignment="1">
      <alignment horizontal="center" vertical="center"/>
    </xf>
    <xf numFmtId="0" fontId="0" fillId="0" borderId="37" xfId="0" applyBorder="1"/>
    <xf numFmtId="49" fontId="39" fillId="10" borderId="30" xfId="0" applyNumberFormat="1" applyFont="1" applyFill="1" applyBorder="1" applyAlignment="1">
      <alignment horizontal="center" vertical="center"/>
    </xf>
    <xf numFmtId="0" fontId="0" fillId="0" borderId="36" xfId="0" applyBorder="1"/>
    <xf numFmtId="0" fontId="0" fillId="0" borderId="35" xfId="0" applyBorder="1"/>
    <xf numFmtId="0" fontId="0" fillId="0" borderId="38" xfId="0" applyBorder="1"/>
  </cellXfs>
  <cellStyles count="2">
    <cellStyle name="표준" xfId="0" builtinId="0"/>
    <cellStyle name="표준 2" xfId="1" xr:uid="{00000000-0005-0000-0000-000001000000}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요약!$B$28</c:f>
              <c:strCache>
                <c:ptCount val="1"/>
                <c:pt idx="0">
                  <c:v>매출액</c:v>
                </c:pt>
              </c:strCache>
            </c:strRef>
          </c:tx>
          <c:spPr>
            <a:solidFill>
              <a:srgbClr val="1F4E78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요약!$B$29:$B$40</c:f>
              <c:numCache>
                <c:formatCode>#,##0,;\(#,##0,\);\-</c:formatCode>
                <c:ptCount val="12"/>
                <c:pt idx="0">
                  <c:v>2735381647</c:v>
                </c:pt>
                <c:pt idx="1">
                  <c:v>2447781972</c:v>
                </c:pt>
                <c:pt idx="2">
                  <c:v>4328182055</c:v>
                </c:pt>
                <c:pt idx="3">
                  <c:v>4152427518</c:v>
                </c:pt>
                <c:pt idx="4">
                  <c:v>2755697515</c:v>
                </c:pt>
                <c:pt idx="5">
                  <c:v>2793851873</c:v>
                </c:pt>
                <c:pt idx="6">
                  <c:v>2306642756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492B-AD31-098DE0AF0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91902030"/>
        <c:axId val="44250780"/>
      </c:barChart>
      <c:lineChart>
        <c:grouping val="standard"/>
        <c:varyColors val="0"/>
        <c:ser>
          <c:idx val="1"/>
          <c:order val="1"/>
          <c:tx>
            <c:strRef>
              <c:f>요약!$C$28</c:f>
              <c:strCache>
                <c:ptCount val="1"/>
                <c:pt idx="0">
                  <c:v>영업이익</c:v>
                </c:pt>
              </c:strCache>
            </c:strRef>
          </c:tx>
          <c:spPr>
            <a:ln w="28080">
              <a:solidFill>
                <a:srgbClr val="ED7D31"/>
              </a:solidFill>
              <a:prstDash val="solid"/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both"/>
            <c:errValType val="stdErr"/>
            <c:noEndCap val="0"/>
            <c:spPr>
              <a:ln w="0">
                <a:solidFill>
                  <a:srgbClr val="000000"/>
                </a:solidFill>
                <a:prstDash val="solid"/>
              </a:ln>
            </c:spPr>
          </c:errBars>
          <c:cat>
            <c:strRef>
              <c:f>요약!$A$29:$A$40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요약!$C$29:$C$40</c:f>
              <c:numCache>
                <c:formatCode>#,##0,;\(#,##0,\);\-</c:formatCode>
                <c:ptCount val="12"/>
                <c:pt idx="0">
                  <c:v>201922246</c:v>
                </c:pt>
                <c:pt idx="1">
                  <c:v>177990712</c:v>
                </c:pt>
                <c:pt idx="2">
                  <c:v>448657414</c:v>
                </c:pt>
                <c:pt idx="3">
                  <c:v>316863055</c:v>
                </c:pt>
                <c:pt idx="4">
                  <c:v>244208873</c:v>
                </c:pt>
                <c:pt idx="5">
                  <c:v>151504066</c:v>
                </c:pt>
                <c:pt idx="6">
                  <c:v>166909868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79-492B-AD31-098DE0AF0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34261576"/>
        <c:axId val="25049326"/>
      </c:lineChart>
      <c:catAx>
        <c:axId val="9190203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44250780"/>
        <c:crosses val="autoZero"/>
        <c:auto val="1"/>
        <c:lblAlgn val="ctr"/>
        <c:lblOffset val="100"/>
        <c:noMultiLvlLbl val="0"/>
      </c:catAx>
      <c:valAx>
        <c:axId val="442507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out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91902030"/>
        <c:crosses val="autoZero"/>
        <c:crossBetween val="between"/>
      </c:valAx>
      <c:catAx>
        <c:axId val="342615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5049326"/>
        <c:crosses val="autoZero"/>
        <c:auto val="1"/>
        <c:lblAlgn val="ctr"/>
        <c:lblOffset val="100"/>
        <c:noMultiLvlLbl val="0"/>
      </c:catAx>
      <c:valAx>
        <c:axId val="25049326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#,##0,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endParaRPr lang="ko-KR"/>
          </a:p>
        </c:txPr>
        <c:crossAx val="34261576"/>
        <c:crosses val="max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57240</xdr:colOff>
      <xdr:row>42</xdr:row>
      <xdr:rowOff>59040</xdr:rowOff>
    </xdr:from>
    <xdr:to>
      <xdr:col>5</xdr:col>
      <xdr:colOff>741960</xdr:colOff>
      <xdr:row>65</xdr:row>
      <xdr:rowOff>23400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C00"/>
    <pageSetUpPr fitToPage="1"/>
  </sheetPr>
  <dimension ref="A1:M19"/>
  <sheetViews>
    <sheetView tabSelected="1" topLeftCell="A4" zoomScaleNormal="100" workbookViewId="0">
      <selection activeCell="B10" sqref="B10:H10"/>
    </sheetView>
  </sheetViews>
  <sheetFormatPr defaultColWidth="30.83203125" defaultRowHeight="11.25"/>
  <cols>
    <col min="1" max="1" width="12.33203125" customWidth="1"/>
    <col min="2" max="8" width="14" customWidth="1"/>
    <col min="9" max="9" width="17.33203125" customWidth="1"/>
    <col min="10" max="11" width="18.5" customWidth="1"/>
  </cols>
  <sheetData>
    <row r="1" spans="1:13" ht="36" customHeight="1">
      <c r="A1" s="126" t="str">
        <f>TEXT($K$1,"yyyy")&amp;"년 1월~"&amp;MONTH($K$1)&amp;"월 월차 결산서 [ ㈜ 창현 ]"</f>
        <v>2026년 1월~7월 월차 결산서 [ ㈜ 창현 ]</v>
      </c>
      <c r="B1" s="127"/>
      <c r="C1" s="127"/>
      <c r="D1" s="127"/>
      <c r="E1" s="127"/>
      <c r="F1" s="127"/>
      <c r="G1" s="127"/>
      <c r="H1" s="127"/>
      <c r="J1" s="2" t="s">
        <v>0</v>
      </c>
      <c r="K1" s="3">
        <v>46234</v>
      </c>
      <c r="L1" s="4" t="s">
        <v>1</v>
      </c>
      <c r="M1" s="5"/>
    </row>
    <row r="2" spans="1:13" ht="5.25" customHeight="1">
      <c r="K2" s="6">
        <v>46267</v>
      </c>
    </row>
    <row r="3" spans="1:13" ht="18.75" customHeight="1">
      <c r="A3" s="136" t="s">
        <v>2</v>
      </c>
      <c r="B3" s="127"/>
      <c r="C3" s="127"/>
      <c r="D3" s="127"/>
      <c r="E3" s="127"/>
      <c r="F3" s="127"/>
      <c r="G3" s="127"/>
      <c r="H3" s="127"/>
    </row>
    <row r="4" spans="1:13" ht="34.5" customHeight="1"/>
    <row r="5" spans="1:13" ht="40.5" customHeight="1">
      <c r="A5" s="7" t="s">
        <v>3</v>
      </c>
      <c r="B5" s="128" t="s">
        <v>4</v>
      </c>
      <c r="C5" s="129"/>
      <c r="D5" s="129"/>
      <c r="E5" s="129"/>
      <c r="F5" s="129"/>
      <c r="G5" s="129"/>
      <c r="H5" s="130"/>
    </row>
    <row r="6" spans="1:13" ht="43.5" customHeight="1">
      <c r="A6" s="8">
        <v>1</v>
      </c>
      <c r="B6" s="140" t="s">
        <v>5</v>
      </c>
      <c r="C6" s="129"/>
      <c r="D6" s="129"/>
      <c r="E6" s="129"/>
      <c r="F6" s="129"/>
      <c r="G6" s="129"/>
      <c r="H6" s="130"/>
    </row>
    <row r="7" spans="1:13" ht="43.5" customHeight="1">
      <c r="A7" s="9">
        <v>2</v>
      </c>
      <c r="B7" s="135" t="str">
        <f>"재무상태표 ["&amp;TEXT($K$1,"yyyy")&amp;"년"&amp;TEXT(MONTH($K$1),"00")&amp;"월"&amp;TEXT(DAY($K$1),"00")&amp;"일"&amp;" 현재]"</f>
        <v>재무상태표 [2026년07월31일 현재]</v>
      </c>
      <c r="C7" s="129"/>
      <c r="D7" s="129"/>
      <c r="E7" s="129"/>
      <c r="F7" s="129"/>
      <c r="G7" s="129"/>
      <c r="H7" s="130"/>
    </row>
    <row r="8" spans="1:13" ht="43.5" customHeight="1">
      <c r="A8" s="8">
        <v>3</v>
      </c>
      <c r="B8" s="140" t="str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손익계산서(매출액대비 비율분석) [2026년01월01일 부터 2026년07월31일 까지]</v>
      </c>
      <c r="C8" s="129"/>
      <c r="D8" s="129"/>
      <c r="E8" s="129"/>
      <c r="F8" s="129"/>
      <c r="G8" s="129"/>
      <c r="H8" s="130"/>
    </row>
    <row r="9" spans="1:13" ht="43.5" customHeight="1">
      <c r="A9" s="9">
        <v>4</v>
      </c>
      <c r="B9" s="135" t="str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>손익계산서(전월대비 증감) [2026년06월01일 부터 2026년07월31일 까지]</v>
      </c>
      <c r="C9" s="129"/>
      <c r="D9" s="129"/>
      <c r="E9" s="129"/>
      <c r="F9" s="129"/>
      <c r="G9" s="129"/>
      <c r="H9" s="130"/>
    </row>
    <row r="10" spans="1:13" ht="43.5" customHeight="1">
      <c r="A10" s="8">
        <v>5</v>
      </c>
      <c r="B10" s="137" t="str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>기간별손익계산서 [2026년01월01일 부터 2026년07월31일 까지]</v>
      </c>
      <c r="C10" s="129"/>
      <c r="D10" s="129"/>
      <c r="E10" s="129"/>
      <c r="F10" s="129"/>
      <c r="G10" s="129"/>
      <c r="H10" s="130"/>
    </row>
    <row r="11" spans="1:13" ht="43.5" customHeight="1">
      <c r="A11" s="9">
        <v>6</v>
      </c>
      <c r="B11" s="138" t="str">
        <f>TEXT($K$1,"yyyy")&amp;"년 차량별 비용현황[연간누계/월별/당월상세]"</f>
        <v>2026년 차량별 비용현황[연간누계/월별/당월상세]</v>
      </c>
      <c r="C11" s="129"/>
      <c r="D11" s="129"/>
      <c r="E11" s="129"/>
      <c r="F11" s="129"/>
      <c r="G11" s="129"/>
      <c r="H11" s="130"/>
    </row>
    <row r="12" spans="1:13" ht="43.5" customHeight="1">
      <c r="A12" s="8">
        <v>7</v>
      </c>
      <c r="B12" s="137" t="str">
        <f>TEXT($K$1,"yyyy")&amp;"년 운송비 개인별 비용"</f>
        <v>2026년 운송비 개인별 비용</v>
      </c>
      <c r="C12" s="129"/>
      <c r="D12" s="129"/>
      <c r="E12" s="129"/>
      <c r="F12" s="129"/>
      <c r="G12" s="129"/>
      <c r="H12" s="130"/>
    </row>
    <row r="13" spans="1:13" ht="18" customHeight="1"/>
    <row r="14" spans="1:13" ht="32.25" customHeight="1"/>
    <row r="15" spans="1:13" ht="9.75" customHeight="1">
      <c r="D15" s="139" t="s">
        <v>6</v>
      </c>
      <c r="E15" s="133" t="s">
        <v>7</v>
      </c>
      <c r="F15" s="133" t="s">
        <v>8</v>
      </c>
      <c r="G15" s="133" t="s">
        <v>9</v>
      </c>
      <c r="H15" s="133" t="s">
        <v>10</v>
      </c>
    </row>
    <row r="16" spans="1:13" ht="27.75" customHeight="1">
      <c r="D16" s="132"/>
      <c r="E16" s="134"/>
      <c r="F16" s="134"/>
      <c r="G16" s="134"/>
      <c r="H16" s="134"/>
    </row>
    <row r="17" spans="4:8" ht="21" customHeight="1">
      <c r="D17" s="132"/>
      <c r="E17" s="131"/>
      <c r="F17" s="131"/>
      <c r="G17" s="131"/>
      <c r="H17" s="131"/>
    </row>
    <row r="18" spans="4:8" ht="21" customHeight="1">
      <c r="D18" s="132"/>
      <c r="E18" s="132"/>
      <c r="F18" s="132"/>
      <c r="G18" s="132"/>
      <c r="H18" s="132"/>
    </row>
    <row r="19" spans="4:8" ht="15" customHeight="1">
      <c r="D19" s="10"/>
      <c r="E19" s="10"/>
      <c r="F19" s="10"/>
      <c r="G19" s="10"/>
      <c r="H19" s="10"/>
    </row>
  </sheetData>
  <mergeCells count="19">
    <mergeCell ref="G17:G18"/>
    <mergeCell ref="B9:H9"/>
    <mergeCell ref="B6:H6"/>
    <mergeCell ref="A1:H1"/>
    <mergeCell ref="B5:H5"/>
    <mergeCell ref="H17:H18"/>
    <mergeCell ref="F17:F18"/>
    <mergeCell ref="E15:E16"/>
    <mergeCell ref="G15:G16"/>
    <mergeCell ref="B7:H7"/>
    <mergeCell ref="A3:H3"/>
    <mergeCell ref="B12:H12"/>
    <mergeCell ref="B11:H11"/>
    <mergeCell ref="D15:D18"/>
    <mergeCell ref="H15:H16"/>
    <mergeCell ref="B8:H8"/>
    <mergeCell ref="B10:H10"/>
    <mergeCell ref="F15:F16"/>
    <mergeCell ref="E17:E18"/>
  </mergeCells>
  <phoneticPr fontId="41" type="noConversion"/>
  <printOptions horizontalCentered="1"/>
  <pageMargins left="0.70833333333333304" right="0.70833333333333304" top="1.92916666666667" bottom="0.74791666666666701" header="0.511811023622047" footer="0.511811023622047"/>
  <pageSetup paperSize="9" scale="97"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4E78"/>
    <pageSetUpPr fitToPage="1"/>
  </sheetPr>
  <dimension ref="A1:H69"/>
  <sheetViews>
    <sheetView showGridLines="0" topLeftCell="A31" zoomScaleNormal="100" workbookViewId="0">
      <selection activeCell="A35" sqref="A35:XFD41"/>
    </sheetView>
  </sheetViews>
  <sheetFormatPr defaultColWidth="8.6640625" defaultRowHeight="11.25"/>
  <cols>
    <col min="1" max="1" width="31.1640625" customWidth="1"/>
    <col min="2" max="3" width="21.33203125" customWidth="1"/>
    <col min="4" max="4" width="16.83203125" customWidth="1"/>
    <col min="5" max="5" width="11.33203125" customWidth="1"/>
    <col min="6" max="6" width="21.33203125" customWidth="1"/>
    <col min="7" max="7" width="16.83203125" customWidth="1"/>
    <col min="8" max="8" width="11.33203125" customWidth="1"/>
  </cols>
  <sheetData>
    <row r="1" spans="1:8" ht="27.75" customHeight="1">
      <c r="A1" s="141" t="s">
        <v>11</v>
      </c>
      <c r="B1" s="127"/>
      <c r="C1" s="127"/>
      <c r="D1" s="127"/>
      <c r="E1" s="127"/>
      <c r="F1" s="127"/>
      <c r="G1" s="127"/>
      <c r="H1" s="127"/>
    </row>
    <row r="2" spans="1:8" ht="22.5" customHeight="1">
      <c r="A2" s="147" t="str">
        <f>TEXT(인덱스!$K$1,"yyyy")&amp;"년 1월 ~ "&amp;MONTH(인덱스!$K$1)&amp;"월 누적 기준 ( 기준일 : "&amp;TEXT(인덱스!$K$1,"yyyy")&amp;"년"&amp;TEXT(MONTH(인덱스!$K$1),"00")&amp;"월"&amp;TEXT(DAY(인덱스!$K$1),"00")&amp;"일 )"</f>
        <v>2026년 1월 ~ 7월 누적 기준 ( 기준일 : 2026년07월31일 )</v>
      </c>
      <c r="B2" s="127"/>
      <c r="C2" s="127"/>
      <c r="D2" s="127"/>
      <c r="E2" s="127"/>
      <c r="F2" s="127"/>
      <c r="G2" s="127"/>
      <c r="H2" s="127"/>
    </row>
    <row r="3" spans="1:8" ht="18.75" customHeight="1"/>
    <row r="4" spans="1:8" ht="15" customHeight="1">
      <c r="A4" s="11" t="s">
        <v>12</v>
      </c>
    </row>
    <row r="5" spans="1:8" ht="16.5" customHeight="1">
      <c r="A5" s="142" t="s">
        <v>4</v>
      </c>
      <c r="B5" s="148" t="str">
        <f>"전년동기 대비 ("&amp;(YEAR(인덱스!$K$1)-1)&amp;"년 1~"&amp;MONTH(인덱스!$K$1)&amp;"월)"</f>
        <v>전년동기 대비 (2025년 1~7월)</v>
      </c>
      <c r="C5" s="145"/>
      <c r="D5" s="145"/>
      <c r="E5" s="146"/>
      <c r="F5" s="144" t="s">
        <v>13</v>
      </c>
      <c r="G5" s="145"/>
      <c r="H5" s="146"/>
    </row>
    <row r="6" spans="1:8" ht="18" customHeight="1">
      <c r="A6" s="134"/>
      <c r="B6" s="12" t="str">
        <f>"당기(1~"&amp;MONTH(인덱스!$K$1)&amp;"월)"</f>
        <v>당기(1~7월)</v>
      </c>
      <c r="C6" s="13" t="str">
        <f>"전년동기(1~"&amp;MONTH(인덱스!$K$1)&amp;"월)"</f>
        <v>전년동기(1~7월)</v>
      </c>
      <c r="D6" s="14" t="s">
        <v>14</v>
      </c>
      <c r="E6" s="15" t="s">
        <v>15</v>
      </c>
      <c r="F6" s="16" t="s">
        <v>16</v>
      </c>
      <c r="G6" s="14" t="s">
        <v>14</v>
      </c>
      <c r="H6" s="15" t="s">
        <v>15</v>
      </c>
    </row>
    <row r="7" spans="1:8" ht="16.5" customHeight="1">
      <c r="A7" s="17" t="s">
        <v>17</v>
      </c>
      <c r="B7" s="18">
        <f>'매출액대비 비율분석'!C9</f>
        <v>21519965336</v>
      </c>
      <c r="C7" s="19">
        <f>IFERROR(INDEX('기간별손익계산서(전년동기)'!$B:$B,MATCH(SUBSTITUTE("Ⅰ  . 매      출      액"," ","")&amp;"|1",'기간별손익계산서(전년동기)'!$P:$P,0)),0)</f>
        <v>19689650568</v>
      </c>
      <c r="D7" s="19">
        <f t="shared" ref="D7:D16" si="0">B7-C7</f>
        <v>1830314768</v>
      </c>
      <c r="E7" s="20">
        <f t="shared" ref="E7:E16" si="1">IFERROR(IF(C7=0,"",(B7-C7)/ABS(C7)),"")</f>
        <v>9.2958214859062194E-2</v>
      </c>
      <c r="F7" s="18">
        <f>'매출액대비 비율분석'!F9</f>
        <v>35759715334</v>
      </c>
      <c r="G7" s="19">
        <f t="shared" ref="G7:G16" si="2">B7-F7</f>
        <v>-14239749998</v>
      </c>
      <c r="H7" s="20">
        <f t="shared" ref="H7:H16" si="3">IFERROR(IF(F7=0,"",(B7-F7)/ABS(F7)),"")</f>
        <v>-0.39820646962647882</v>
      </c>
    </row>
    <row r="8" spans="1:8" ht="16.5" customHeight="1">
      <c r="A8" s="21" t="s">
        <v>18</v>
      </c>
      <c r="B8" s="22">
        <f>'매출액대비 비율분석'!C12</f>
        <v>17650813148</v>
      </c>
      <c r="C8" s="23">
        <f>IFERROR(INDEX('기간별손익계산서(전년동기)'!$B:$B,MATCH(SUBSTITUTE("Ⅱ  . 매    출   원   가"," ","")&amp;"|1",'기간별손익계산서(전년동기)'!$P:$P,0)),0)</f>
        <v>16467043458</v>
      </c>
      <c r="D8" s="23">
        <f t="shared" si="0"/>
        <v>1183769690</v>
      </c>
      <c r="E8" s="24">
        <f t="shared" si="1"/>
        <v>7.1887202643222653E-2</v>
      </c>
      <c r="F8" s="22">
        <f>'매출액대비 비율분석'!F12</f>
        <v>29846027632</v>
      </c>
      <c r="G8" s="23">
        <f t="shared" si="2"/>
        <v>-12195214484</v>
      </c>
      <c r="H8" s="24">
        <f t="shared" si="3"/>
        <v>-0.40860427506019809</v>
      </c>
    </row>
    <row r="9" spans="1:8" ht="16.5" customHeight="1">
      <c r="A9" s="25" t="s">
        <v>19</v>
      </c>
      <c r="B9" s="26">
        <f>'매출액대비 비율분석'!C18</f>
        <v>3869152188</v>
      </c>
      <c r="C9" s="27">
        <f>IFERROR(INDEX('기간별손익계산서(전년동기)'!$B:$B,MATCH(SUBSTITUTE("Ⅲ  . 매  출  총  이  익"," ","")&amp;"|1",'기간별손익계산서(전년동기)'!$P:$P,0)),0)</f>
        <v>3222607110</v>
      </c>
      <c r="D9" s="27">
        <f t="shared" si="0"/>
        <v>646545078</v>
      </c>
      <c r="E9" s="28">
        <f t="shared" si="1"/>
        <v>0.20062795616434917</v>
      </c>
      <c r="F9" s="26">
        <f>'매출액대비 비율분석'!F18</f>
        <v>5913687702</v>
      </c>
      <c r="G9" s="27">
        <f t="shared" si="2"/>
        <v>-2044535514</v>
      </c>
      <c r="H9" s="28">
        <f t="shared" si="3"/>
        <v>-0.3457293683784724</v>
      </c>
    </row>
    <row r="10" spans="1:8" ht="16.5" customHeight="1">
      <c r="A10" s="21" t="s">
        <v>20</v>
      </c>
      <c r="B10" s="22">
        <f>'매출액대비 비율분석'!C19</f>
        <v>2161095954</v>
      </c>
      <c r="C10" s="23">
        <f>IFERROR(INDEX('기간별손익계산서(전년동기)'!$B:$B,MATCH(SUBSTITUTE("Ⅳ  . 판  매  관  리  비"," ","")&amp;"|1",'기간별손익계산서(전년동기)'!$P:$P,0)),0)</f>
        <v>1948634682</v>
      </c>
      <c r="D10" s="23">
        <f t="shared" si="0"/>
        <v>212461272</v>
      </c>
      <c r="E10" s="24">
        <f t="shared" si="1"/>
        <v>0.10903083782843191</v>
      </c>
      <c r="F10" s="22">
        <f>'매출액대비 비율분석'!F19</f>
        <v>4291191892</v>
      </c>
      <c r="G10" s="23">
        <f t="shared" si="2"/>
        <v>-2130095938</v>
      </c>
      <c r="H10" s="24">
        <f t="shared" si="3"/>
        <v>-0.49638794805962966</v>
      </c>
    </row>
    <row r="11" spans="1:8" ht="16.5" customHeight="1">
      <c r="A11" s="25" t="s">
        <v>21</v>
      </c>
      <c r="B11" s="26">
        <f>'매출액대비 비율분석'!C41</f>
        <v>1708056234</v>
      </c>
      <c r="C11" s="27">
        <f>IFERROR(INDEX('기간별손익계산서(전년동기)'!$B:$B,MATCH(SUBSTITUTE("Ⅴ  . 영    업   이   익"," ","")&amp;"|1",'기간별손익계산서(전년동기)'!$P:$P,0)),0)</f>
        <v>1273972428</v>
      </c>
      <c r="D11" s="27">
        <f t="shared" si="0"/>
        <v>434083806</v>
      </c>
      <c r="E11" s="28">
        <f t="shared" si="1"/>
        <v>0.34073249660627664</v>
      </c>
      <c r="F11" s="26">
        <f>'매출액대비 비율분석'!F41</f>
        <v>1622495810</v>
      </c>
      <c r="G11" s="27">
        <f t="shared" si="2"/>
        <v>85560424</v>
      </c>
      <c r="H11" s="28">
        <f t="shared" si="3"/>
        <v>5.2733833562257394E-2</v>
      </c>
    </row>
    <row r="12" spans="1:8" ht="16.5" customHeight="1">
      <c r="A12" s="21" t="s">
        <v>22</v>
      </c>
      <c r="B12" s="22">
        <f>'매출액대비 비율분석'!C42</f>
        <v>145089917</v>
      </c>
      <c r="C12" s="23">
        <f>IFERROR(INDEX('기간별손익계산서(전년동기)'!$B:$B,MATCH(SUBSTITUTE("Ⅵ  . 영  업  외  수  익"," ","")&amp;"|1",'기간별손익계산서(전년동기)'!$P:$P,0)),0)</f>
        <v>110853921</v>
      </c>
      <c r="D12" s="23">
        <f t="shared" si="0"/>
        <v>34235996</v>
      </c>
      <c r="E12" s="24">
        <f t="shared" si="1"/>
        <v>0.30883883665242656</v>
      </c>
      <c r="F12" s="22">
        <f>'매출액대비 비율분석'!F42</f>
        <v>213061525</v>
      </c>
      <c r="G12" s="23">
        <f t="shared" si="2"/>
        <v>-67971608</v>
      </c>
      <c r="H12" s="24">
        <f t="shared" si="3"/>
        <v>-0.31902338068780839</v>
      </c>
    </row>
    <row r="13" spans="1:8" ht="16.5" customHeight="1">
      <c r="A13" s="21" t="s">
        <v>23</v>
      </c>
      <c r="B13" s="22">
        <f>'매출액대비 비율분석'!C50</f>
        <v>1315405</v>
      </c>
      <c r="C13" s="23">
        <f>IFERROR(INDEX('기간별손익계산서(전년동기)'!$B:$B,MATCH(SUBSTITUTE("Ⅶ  . 영  업  외  비  용"," ","")&amp;"|1",'기간별손익계산서(전년동기)'!$P:$P,0)),0)</f>
        <v>40033270</v>
      </c>
      <c r="D13" s="23">
        <f t="shared" si="0"/>
        <v>-38717865</v>
      </c>
      <c r="E13" s="24">
        <f t="shared" si="1"/>
        <v>-0.96714220447143084</v>
      </c>
      <c r="F13" s="22">
        <f>'매출액대비 비율분석'!F50</f>
        <v>14528746</v>
      </c>
      <c r="G13" s="23">
        <f t="shared" si="2"/>
        <v>-13213341</v>
      </c>
      <c r="H13" s="24">
        <f t="shared" si="3"/>
        <v>-0.90946190400740712</v>
      </c>
    </row>
    <row r="14" spans="1:8" ht="16.5" customHeight="1">
      <c r="A14" s="25" t="s">
        <v>24</v>
      </c>
      <c r="B14" s="26">
        <f>'매출액대비 비율분석'!C58</f>
        <v>1851830746</v>
      </c>
      <c r="C14" s="27">
        <f>IFERROR(INDEX('기간별손익계산서(전년동기)'!$B:$B,MATCH(SUBSTITUTE("Ⅷ  . 법인세비용차감전순이익"," ","")&amp;"|1",'기간별손익계산서(전년동기)'!$P:$P,0)),0)</f>
        <v>1344793079</v>
      </c>
      <c r="D14" s="27">
        <f t="shared" si="0"/>
        <v>507037667</v>
      </c>
      <c r="E14" s="28">
        <f t="shared" si="1"/>
        <v>0.37703768328212817</v>
      </c>
      <c r="F14" s="26">
        <f>'매출액대비 비율분석'!F58</f>
        <v>1821028589</v>
      </c>
      <c r="G14" s="27">
        <f t="shared" si="2"/>
        <v>30802157</v>
      </c>
      <c r="H14" s="28">
        <f t="shared" si="3"/>
        <v>1.691470259503982E-2</v>
      </c>
    </row>
    <row r="15" spans="1:8" ht="16.5" customHeight="1">
      <c r="A15" s="21" t="s">
        <v>25</v>
      </c>
      <c r="B15" s="22">
        <f>'매출액대비 비율분석'!C59</f>
        <v>0</v>
      </c>
      <c r="C15" s="23">
        <f>IFERROR(INDEX('기간별손익계산서(전년동기)'!$B:$B,MATCH(SUBSTITUTE("Ⅸ  . 법  인  세  비  용"," ","")&amp;"|1",'기간별손익계산서(전년동기)'!$P:$P,0)),0)</f>
        <v>0</v>
      </c>
      <c r="D15" s="23">
        <f t="shared" si="0"/>
        <v>0</v>
      </c>
      <c r="E15" s="24" t="str">
        <f t="shared" si="1"/>
        <v/>
      </c>
      <c r="F15" s="22">
        <f>'매출액대비 비율분석'!F59</f>
        <v>408545770</v>
      </c>
      <c r="G15" s="23">
        <f t="shared" si="2"/>
        <v>-408545770</v>
      </c>
      <c r="H15" s="24">
        <f t="shared" si="3"/>
        <v>-1</v>
      </c>
    </row>
    <row r="16" spans="1:8" ht="16.5" customHeight="1">
      <c r="A16" s="25" t="s">
        <v>26</v>
      </c>
      <c r="B16" s="26">
        <f>'매출액대비 비율분석'!C61</f>
        <v>1851830746</v>
      </c>
      <c r="C16" s="27">
        <f>IFERROR(INDEX('기간별손익계산서(전년동기)'!$B:$B,MATCH(SUBSTITUTE("Ⅹ  . 당  기  순  이  익"," ","")&amp;"|1",'기간별손익계산서(전년동기)'!$P:$P,0)),0)</f>
        <v>1344793079</v>
      </c>
      <c r="D16" s="27">
        <f t="shared" si="0"/>
        <v>507037667</v>
      </c>
      <c r="E16" s="28">
        <f t="shared" si="1"/>
        <v>0.37703768328212817</v>
      </c>
      <c r="F16" s="26">
        <f>'매출액대비 비율분석'!F61</f>
        <v>1412482819</v>
      </c>
      <c r="G16" s="27">
        <f t="shared" si="2"/>
        <v>439347927</v>
      </c>
      <c r="H16" s="28">
        <f t="shared" si="3"/>
        <v>0.31104656360425437</v>
      </c>
    </row>
    <row r="17" spans="1:8" ht="16.5" customHeight="1">
      <c r="A17" s="29" t="s">
        <v>27</v>
      </c>
      <c r="B17" s="30">
        <f>IFERROR(B11/B7,"")</f>
        <v>7.9370770692769294E-2</v>
      </c>
      <c r="C17" s="31">
        <f>IFERROR(C11/C7,"")</f>
        <v>6.4702642822442188E-2</v>
      </c>
      <c r="D17" s="32"/>
      <c r="E17" s="33"/>
      <c r="F17" s="30">
        <f>IFERROR(F11/F7,"")</f>
        <v>4.5372167950602962E-2</v>
      </c>
      <c r="G17" s="32"/>
      <c r="H17" s="33"/>
    </row>
    <row r="18" spans="1:8" ht="16.5" customHeight="1">
      <c r="A18" s="34" t="s">
        <v>28</v>
      </c>
      <c r="B18" s="35">
        <f>IFERROR(B16/B7,"")</f>
        <v>8.6051753201578665E-2</v>
      </c>
      <c r="C18" s="36">
        <f>IFERROR(C16/C7,"")</f>
        <v>6.8299489336066915E-2</v>
      </c>
      <c r="D18" s="37"/>
      <c r="E18" s="38"/>
      <c r="F18" s="35">
        <f>IFERROR(F16/F7,"")</f>
        <v>3.9499274695204992E-2</v>
      </c>
      <c r="G18" s="37"/>
      <c r="H18" s="38"/>
    </row>
    <row r="20" spans="1:8" ht="15" customHeight="1">
      <c r="A20" s="11" t="s">
        <v>29</v>
      </c>
    </row>
    <row r="21" spans="1:8" ht="30" customHeight="1">
      <c r="A21" s="39" t="s">
        <v>4</v>
      </c>
      <c r="B21" s="40" t="s">
        <v>30</v>
      </c>
      <c r="C21" s="41" t="s">
        <v>31</v>
      </c>
      <c r="D21" s="42" t="s">
        <v>14</v>
      </c>
      <c r="E21" s="41" t="s">
        <v>15</v>
      </c>
    </row>
    <row r="22" spans="1:8" ht="16.5" customHeight="1">
      <c r="A22" s="43" t="s">
        <v>32</v>
      </c>
      <c r="B22" s="18">
        <f>('재무상태표(내역)'!C50)+0</f>
        <v>20883770316</v>
      </c>
      <c r="C22" s="44">
        <f>('재무상태표(내역)'!F50)+0</f>
        <v>20642395329</v>
      </c>
      <c r="D22" s="45">
        <f>B22-C22</f>
        <v>241374987</v>
      </c>
      <c r="E22" s="20">
        <f>IFERROR(IF(C22=0,"",(B22-C22)/ABS(C22)),"")</f>
        <v>1.1693167539568344E-2</v>
      </c>
    </row>
    <row r="23" spans="1:8" ht="16.5" customHeight="1">
      <c r="A23" s="46" t="s">
        <v>33</v>
      </c>
      <c r="B23" s="26">
        <f>('재무상태표(내역)'!C65)+0</f>
        <v>2135881456</v>
      </c>
      <c r="C23" s="47">
        <f>('재무상태표(내역)'!F65)+0</f>
        <v>3546337215</v>
      </c>
      <c r="D23" s="48">
        <f>B23-C23</f>
        <v>-1410455759</v>
      </c>
      <c r="E23" s="28">
        <f>IFERROR(IF(C23=0,"",(B23-C23)/ABS(C23)),"")</f>
        <v>-0.39772183903836678</v>
      </c>
    </row>
    <row r="24" spans="1:8" ht="16.5" customHeight="1">
      <c r="A24" s="46" t="s">
        <v>34</v>
      </c>
      <c r="B24" s="26">
        <f>('재무상태표(내역)'!C79)+0</f>
        <v>18747888860</v>
      </c>
      <c r="C24" s="47">
        <f>('재무상태표(내역)'!F79)+0</f>
        <v>17096058114</v>
      </c>
      <c r="D24" s="48">
        <f>B24-C24</f>
        <v>1651830746</v>
      </c>
      <c r="E24" s="28">
        <f>IFERROR(IF(C24=0,"",(B24-C24)/ABS(C24)),"")</f>
        <v>9.6620562177857375E-2</v>
      </c>
    </row>
    <row r="25" spans="1:8" ht="16.5" customHeight="1">
      <c r="A25" s="49" t="s">
        <v>35</v>
      </c>
      <c r="B25" s="35">
        <f>IFERROR(B23/B24,"")</f>
        <v>0.11392650510943983</v>
      </c>
      <c r="C25" s="50">
        <f>IFERROR(C23/C24,"")</f>
        <v>0.20743595929262176</v>
      </c>
      <c r="D25" s="51"/>
      <c r="E25" s="38"/>
    </row>
    <row r="27" spans="1:8" ht="18.75" customHeight="1">
      <c r="A27" s="11" t="s">
        <v>36</v>
      </c>
    </row>
    <row r="28" spans="1:8" ht="30" customHeight="1">
      <c r="A28" s="1" t="s">
        <v>37</v>
      </c>
      <c r="B28" s="42" t="s">
        <v>17</v>
      </c>
      <c r="C28" s="41" t="s">
        <v>21</v>
      </c>
    </row>
    <row r="29" spans="1:8" ht="15" customHeight="1">
      <c r="A29" s="52" t="str">
        <f>IFERROR(MONTH(DATE(YEAR(인덱스!$K$1),1,1))&amp;"월","")</f>
        <v>1월</v>
      </c>
      <c r="B29" s="53">
        <f>IF(1&lt;=MONTH(인덱스!$K$1),INDEX(기간별손익계산서!$C:$N,2,1),NA())</f>
        <v>2735381647</v>
      </c>
      <c r="C29" s="54">
        <f>IF(1&lt;=MONTH(인덱스!$K$1),INDEX(기간별손익계산서!$C:$N,30,1),NA())</f>
        <v>201922246</v>
      </c>
    </row>
    <row r="30" spans="1:8" ht="15" customHeight="1">
      <c r="A30" s="55" t="str">
        <f>IFERROR(MONTH(DATE(YEAR(인덱스!$K$1),2,1))&amp;"월","")</f>
        <v>2월</v>
      </c>
      <c r="B30" s="22">
        <f>IF(2&lt;=MONTH(인덱스!$K$1),INDEX(기간별손익계산서!$C:$N,2,2),NA())</f>
        <v>2447781972</v>
      </c>
      <c r="C30" s="56">
        <f>IF(2&lt;=MONTH(인덱스!$K$1),INDEX(기간별손익계산서!$C:$N,30,2),NA())</f>
        <v>177990712</v>
      </c>
    </row>
    <row r="31" spans="1:8" ht="15" customHeight="1">
      <c r="A31" s="55" t="str">
        <f>IFERROR(MONTH(DATE(YEAR(인덱스!$K$1),3,1))&amp;"월","")</f>
        <v>3월</v>
      </c>
      <c r="B31" s="22">
        <f>IF(3&lt;=MONTH(인덱스!$K$1),INDEX(기간별손익계산서!$C:$N,2,3),NA())</f>
        <v>4328182055</v>
      </c>
      <c r="C31" s="56">
        <f>IF(3&lt;=MONTH(인덱스!$K$1),INDEX(기간별손익계산서!$C:$N,30,3),NA())</f>
        <v>448657414</v>
      </c>
    </row>
    <row r="32" spans="1:8" ht="15" customHeight="1">
      <c r="A32" s="55" t="str">
        <f>IFERROR(MONTH(DATE(YEAR(인덱스!$K$1),4,1))&amp;"월","")</f>
        <v>4월</v>
      </c>
      <c r="B32" s="22">
        <f>IF(4&lt;=MONTH(인덱스!$K$1),INDEX(기간별손익계산서!$C:$N,2,4),NA())</f>
        <v>4152427518</v>
      </c>
      <c r="C32" s="56">
        <f>IF(4&lt;=MONTH(인덱스!$K$1),INDEX(기간별손익계산서!$C:$N,30,4),NA())</f>
        <v>316863055</v>
      </c>
    </row>
    <row r="33" spans="1:3" ht="15" customHeight="1">
      <c r="A33" s="55" t="str">
        <f>IFERROR(MONTH(DATE(YEAR(인덱스!$K$1),5,1))&amp;"월","")</f>
        <v>5월</v>
      </c>
      <c r="B33" s="22">
        <f>IF(5&lt;=MONTH(인덱스!$K$1),INDEX(기간별손익계산서!$C:$N,2,5),NA())</f>
        <v>2755697515</v>
      </c>
      <c r="C33" s="56">
        <f>IF(5&lt;=MONTH(인덱스!$K$1),INDEX(기간별손익계산서!$C:$N,30,5),NA())</f>
        <v>244208873</v>
      </c>
    </row>
    <row r="34" spans="1:3" ht="15" customHeight="1">
      <c r="A34" s="55" t="str">
        <f>IFERROR(MONTH(DATE(YEAR(인덱스!$K$1),6,1))&amp;"월","")</f>
        <v>6월</v>
      </c>
      <c r="B34" s="22">
        <f>IF(6&lt;=MONTH(인덱스!$K$1),INDEX(기간별손익계산서!$C:$N,2,6),NA())</f>
        <v>2793851873</v>
      </c>
      <c r="C34" s="56">
        <f>IF(6&lt;=MONTH(인덱스!$K$1),INDEX(기간별손익계산서!$C:$N,30,6),NA())</f>
        <v>151504066</v>
      </c>
    </row>
    <row r="35" spans="1:3" ht="15" customHeight="1">
      <c r="A35" s="55" t="str">
        <f>IFERROR(MONTH(DATE(YEAR(인덱스!$K$1),7,1))&amp;"월","")</f>
        <v>7월</v>
      </c>
      <c r="B35" s="22">
        <f>IF(7&lt;=MONTH(인덱스!$K$1),INDEX(기간별손익계산서!$C:$N,2,7),NA())</f>
        <v>2306642756</v>
      </c>
      <c r="C35" s="56">
        <f>IF(7&lt;=MONTH(인덱스!$K$1),INDEX(기간별손익계산서!$C:$N,30,7),NA())</f>
        <v>166909868</v>
      </c>
    </row>
    <row r="36" spans="1:3" ht="15" customHeight="1">
      <c r="A36" s="55" t="str">
        <f>IFERROR(MONTH(DATE(YEAR(인덱스!$K$1),8,1))&amp;"월","")</f>
        <v>8월</v>
      </c>
      <c r="B36" s="22" t="e">
        <f>IF(8&lt;=MONTH(인덱스!$K$1),INDEX(기간별손익계산서!$C:$N,2,8),NA())</f>
        <v>#N/A</v>
      </c>
      <c r="C36" s="56" t="e">
        <f>IF(8&lt;=MONTH(인덱스!$K$1),INDEX(기간별손익계산서!$C:$N,30,8),NA())</f>
        <v>#N/A</v>
      </c>
    </row>
    <row r="37" spans="1:3" ht="15" customHeight="1">
      <c r="A37" s="55" t="str">
        <f>IFERROR(MONTH(DATE(YEAR(인덱스!$K$1),9,1))&amp;"월","")</f>
        <v>9월</v>
      </c>
      <c r="B37" s="22" t="e">
        <f>IF(9&lt;=MONTH(인덱스!$K$1),INDEX(기간별손익계산서!$C:$N,2,9),NA())</f>
        <v>#N/A</v>
      </c>
      <c r="C37" s="56" t="e">
        <f>IF(9&lt;=MONTH(인덱스!$K$1),INDEX(기간별손익계산서!$C:$N,30,9),NA())</f>
        <v>#N/A</v>
      </c>
    </row>
    <row r="38" spans="1:3" ht="15" customHeight="1">
      <c r="A38" s="55" t="str">
        <f>IFERROR(MONTH(DATE(YEAR(인덱스!$K$1),10,1))&amp;"월","")</f>
        <v>10월</v>
      </c>
      <c r="B38" s="22" t="e">
        <f>IF(10&lt;=MONTH(인덱스!$K$1),INDEX(기간별손익계산서!$C:$N,2,10),NA())</f>
        <v>#N/A</v>
      </c>
      <c r="C38" s="56" t="e">
        <f>IF(10&lt;=MONTH(인덱스!$K$1),INDEX(기간별손익계산서!$C:$N,30,10),NA())</f>
        <v>#N/A</v>
      </c>
    </row>
    <row r="39" spans="1:3" ht="15" customHeight="1">
      <c r="A39" s="55" t="str">
        <f>IFERROR(MONTH(DATE(YEAR(인덱스!$K$1),11,1))&amp;"월","")</f>
        <v>11월</v>
      </c>
      <c r="B39" s="22" t="e">
        <f>IF(11&lt;=MONTH(인덱스!$K$1),INDEX(기간별손익계산서!$C:$N,2,11),NA())</f>
        <v>#N/A</v>
      </c>
      <c r="C39" s="56" t="e">
        <f>IF(11&lt;=MONTH(인덱스!$K$1),INDEX(기간별손익계산서!$C:$N,30,11),NA())</f>
        <v>#N/A</v>
      </c>
    </row>
    <row r="40" spans="1:3" ht="15" customHeight="1">
      <c r="A40" s="55" t="str">
        <f>IFERROR(MONTH(DATE(YEAR(인덱스!$K$1),12,1))&amp;"월","")</f>
        <v>12월</v>
      </c>
      <c r="B40" s="22" t="e">
        <f>IF(12&lt;=MONTH(인덱스!$K$1),INDEX(기간별손익계산서!$C:$N,2,12),NA())</f>
        <v>#N/A</v>
      </c>
      <c r="C40" s="56" t="e">
        <f>IF(12&lt;=MONTH(인덱스!$K$1),INDEX(기간별손익계산서!$C:$N,30,12),NA())</f>
        <v>#N/A</v>
      </c>
    </row>
    <row r="41" spans="1:3" ht="16.5" customHeight="1">
      <c r="A41" s="57" t="s">
        <v>38</v>
      </c>
      <c r="B41" s="58">
        <f>_xlfn.AGGREGATE(9,6,B29:B40)</f>
        <v>21519965336</v>
      </c>
      <c r="C41" s="59">
        <f>_xlfn.AGGREGATE(9,6,C29:C40)</f>
        <v>1708056234</v>
      </c>
    </row>
    <row r="67" spans="1:8" ht="3.75" customHeight="1"/>
    <row r="68" spans="1:8" ht="27.75" customHeight="1"/>
    <row r="69" spans="1:8" ht="60" customHeight="1">
      <c r="A69" s="143" t="s">
        <v>39</v>
      </c>
      <c r="B69" s="127"/>
      <c r="C69" s="127"/>
      <c r="D69" s="127"/>
      <c r="E69" s="127"/>
      <c r="F69" s="127"/>
      <c r="G69" s="127"/>
      <c r="H69" s="127"/>
    </row>
  </sheetData>
  <mergeCells count="6">
    <mergeCell ref="A1:H1"/>
    <mergeCell ref="A5:A6"/>
    <mergeCell ref="A69:H69"/>
    <mergeCell ref="F5:H5"/>
    <mergeCell ref="A2:H2"/>
    <mergeCell ref="B5:E5"/>
  </mergeCells>
  <phoneticPr fontId="41" type="noConversion"/>
  <conditionalFormatting sqref="E7:E16">
    <cfRule type="expression" dxfId="22" priority="2">
      <formula>E7&gt;0</formula>
    </cfRule>
    <cfRule type="expression" dxfId="21" priority="3">
      <formula>E7&lt;0</formula>
    </cfRule>
  </conditionalFormatting>
  <conditionalFormatting sqref="E22:E24">
    <cfRule type="expression" dxfId="20" priority="6">
      <formula>E22&gt;0</formula>
    </cfRule>
    <cfRule type="expression" dxfId="19" priority="7">
      <formula>E22&lt;0</formula>
    </cfRule>
  </conditionalFormatting>
  <conditionalFormatting sqref="H7:H16">
    <cfRule type="expression" dxfId="18" priority="4">
      <formula>H7&gt;0</formula>
    </cfRule>
    <cfRule type="expression" dxfId="17" priority="5">
      <formula>H7&lt;0</formula>
    </cfRule>
  </conditionalFormatting>
  <pageMargins left="0.74791666666666701" right="0.74791666666666701" top="1.1812499999999999" bottom="0.98402777777777795" header="0.511811023622047" footer="0.511811023622047"/>
  <pageSetup paperSize="9" scale="68" orientation="portrait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C00"/>
  </sheetPr>
  <dimension ref="A1:K80"/>
  <sheetViews>
    <sheetView topLeftCell="A67" zoomScaleNormal="100" workbookViewId="0">
      <selection activeCell="D29" sqref="D29"/>
    </sheetView>
  </sheetViews>
  <sheetFormatPr defaultColWidth="15.33203125" defaultRowHeight="11.25"/>
  <cols>
    <col min="1" max="1" width="28.83203125" customWidth="1"/>
    <col min="2" max="2" width="16.33203125" customWidth="1"/>
    <col min="3" max="3" width="18.5" customWidth="1"/>
    <col min="4" max="4" width="41" customWidth="1"/>
    <col min="5" max="5" width="16.33203125" customWidth="1"/>
    <col min="6" max="6" width="18.5" customWidth="1"/>
    <col min="7" max="7" width="16.33203125" customWidth="1"/>
    <col min="8" max="8" width="13" hidden="1" customWidth="1"/>
    <col min="9" max="9" width="0.33203125" hidden="1" customWidth="1"/>
    <col min="10" max="10" width="13.6640625" hidden="1" customWidth="1"/>
    <col min="11" max="11" width="11" hidden="1" customWidth="1"/>
  </cols>
  <sheetData>
    <row r="1" spans="1:11" ht="23.25" customHeight="1">
      <c r="A1" s="149" t="s">
        <v>40</v>
      </c>
      <c r="B1" s="127"/>
      <c r="C1" s="127"/>
      <c r="D1" s="127"/>
      <c r="E1" s="127"/>
      <c r="F1" s="127"/>
      <c r="G1" s="127"/>
      <c r="H1" s="60"/>
    </row>
    <row r="2" spans="1:11" ht="10.5" customHeight="1">
      <c r="A2" s="61"/>
      <c r="B2" s="61"/>
      <c r="C2" s="61"/>
      <c r="D2" s="61"/>
      <c r="E2" s="61"/>
      <c r="F2" s="61"/>
      <c r="G2" s="61"/>
      <c r="H2" s="61"/>
      <c r="I2" s="62" t="str">
        <f>IF(ROUND(C50,0)=ROUND(C80,0),"대차검증(당기): 일치","대차검증(당기): 불일치 ⚠")</f>
        <v>대차검증(당기): 일치</v>
      </c>
    </row>
    <row r="3" spans="1:11" ht="19.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27"/>
      <c r="C3" s="127"/>
      <c r="D3" s="127"/>
      <c r="E3" s="127"/>
      <c r="F3" s="127"/>
      <c r="G3" s="127"/>
      <c r="H3" s="5"/>
      <c r="I3" s="62" t="str">
        <f>IF(ROUND(F50,0)=ROUND(F80,0),"대차검증(전기): 일치","대차검증(전기): 불일치 ⚠")</f>
        <v>대차검증(전기): 일치</v>
      </c>
    </row>
    <row r="4" spans="1:11" ht="19.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27"/>
      <c r="C4" s="127"/>
      <c r="D4" s="127"/>
      <c r="E4" s="127"/>
      <c r="F4" s="127"/>
      <c r="G4" s="127"/>
      <c r="H4" s="5"/>
    </row>
    <row r="5" spans="1:11" ht="12.75" customHeight="1"/>
    <row r="6" spans="1:11" ht="11.25" customHeight="1">
      <c r="A6" s="63" t="s">
        <v>41</v>
      </c>
      <c r="G6" s="64" t="s">
        <v>42</v>
      </c>
    </row>
    <row r="7" spans="1:11" ht="18.75" customHeight="1">
      <c r="A7" s="150" t="s">
        <v>43</v>
      </c>
      <c r="B7" s="150" t="s">
        <v>44</v>
      </c>
      <c r="C7" s="130"/>
      <c r="D7" s="150" t="s">
        <v>45</v>
      </c>
      <c r="E7" s="150" t="s">
        <v>46</v>
      </c>
      <c r="F7" s="130"/>
      <c r="G7" s="150" t="s">
        <v>47</v>
      </c>
      <c r="J7" s="66" t="s">
        <v>48</v>
      </c>
      <c r="K7" s="66" t="s">
        <v>15</v>
      </c>
    </row>
    <row r="8" spans="1:11" ht="18.75" customHeight="1">
      <c r="A8" s="152"/>
      <c r="B8" s="150" t="s">
        <v>49</v>
      </c>
      <c r="C8" s="130"/>
      <c r="D8" s="152"/>
      <c r="E8" s="150" t="s">
        <v>50</v>
      </c>
      <c r="F8" s="130"/>
      <c r="G8" s="152"/>
    </row>
    <row r="9" spans="1:11" ht="17.25" customHeight="1">
      <c r="A9" s="67" t="s">
        <v>51</v>
      </c>
      <c r="B9" s="68"/>
      <c r="C9" s="68"/>
      <c r="D9" s="69"/>
      <c r="E9" s="68"/>
      <c r="F9" s="68"/>
      <c r="G9" s="70"/>
      <c r="H9" s="71" t="str">
        <f t="shared" ref="H9:H40" si="0">SUBSTITUTE(A9," ","")</f>
        <v>자산</v>
      </c>
      <c r="I9" s="71" t="str">
        <f>H9&amp;"|"&amp;COUNTIF($H$9:H9,H9)</f>
        <v>자산|1</v>
      </c>
      <c r="J9" s="72" t="str">
        <f>IF($A9="","",IF(ISNUMBER(MATCH($I9,재무상태표!$G:$G,0)),"✓ 일치","⚠ 확인필요"))</f>
        <v>✓ 일치</v>
      </c>
      <c r="K9" s="73" t="str">
        <f t="shared" ref="K9:K40" si="1">IFERROR(IF(F9=0,"",(C9-F9)/ABS(F9)),"")</f>
        <v/>
      </c>
    </row>
    <row r="10" spans="1:11" ht="17.25" customHeight="1">
      <c r="A10" s="74" t="s">
        <v>52</v>
      </c>
      <c r="B10" s="75">
        <f>IFERROR(INDEX(재무상태표!$B:$B,MATCH($I10,재무상태표!$G:$G,0)),0)</f>
        <v>0</v>
      </c>
      <c r="C10" s="76" t="str">
        <f>IFERROR(INDEX(재무상태표!$C:$C,MATCH($I10,재무상태표!$G:$G,0)),0)</f>
        <v>16,824,297,117</v>
      </c>
      <c r="D10" s="77"/>
      <c r="E10" s="75">
        <f>IFERROR(INDEX(재무상태표!$D:$D,MATCH($I10,재무상태표!$G:$G,0)),0)</f>
        <v>0</v>
      </c>
      <c r="F10" s="76" t="str">
        <f>IFERROR(INDEX(재무상태표!$E:$E,MATCH($I10,재무상태표!$G:$G,0)),0)</f>
        <v>16,586,842,935</v>
      </c>
      <c r="G10" s="78">
        <f t="shared" ref="G10:G15" si="2">C10-F10</f>
        <v>237454182</v>
      </c>
      <c r="H10" s="79" t="str">
        <f t="shared" si="0"/>
        <v>Ⅰ.유동자산</v>
      </c>
      <c r="I10" s="79" t="str">
        <f>H10&amp;"|"&amp;COUNTIF($H$9:H10,H10)</f>
        <v>Ⅰ.유동자산|1</v>
      </c>
      <c r="J10" s="80" t="str">
        <f>IF($A10="","",IF(ISNUMBER(MATCH($I10,재무상태표!$G:$G,0)),"✓ 일치","⚠ 확인필요"))</f>
        <v>✓ 일치</v>
      </c>
      <c r="K10" s="81">
        <f t="shared" si="1"/>
        <v>1.4315815428561541E-2</v>
      </c>
    </row>
    <row r="11" spans="1:11" ht="17.25" customHeight="1">
      <c r="A11" s="82" t="s">
        <v>53</v>
      </c>
      <c r="B11" s="68">
        <f>IFERROR(INDEX(재무상태표!$B:$B,MATCH($I11,재무상태표!$G:$G,0)),0)</f>
        <v>0</v>
      </c>
      <c r="C11" s="83" t="str">
        <f>IFERROR(INDEX(재무상태표!$C:$C,MATCH($I11,재무상태표!$G:$G,0)),0)</f>
        <v>13,960,681,681</v>
      </c>
      <c r="D11" s="69"/>
      <c r="E11" s="68">
        <f>IFERROR(INDEX(재무상태표!$D:$D,MATCH($I11,재무상태표!$G:$G,0)),0)</f>
        <v>0</v>
      </c>
      <c r="F11" s="83" t="str">
        <f>IFERROR(INDEX(재무상태표!$E:$E,MATCH($I11,재무상태표!$G:$G,0)),0)</f>
        <v>14,460,731,833</v>
      </c>
      <c r="G11" s="70">
        <f t="shared" si="2"/>
        <v>-500050152</v>
      </c>
      <c r="H11" s="71" t="str">
        <f t="shared" si="0"/>
        <v>(1)당좌자산</v>
      </c>
      <c r="I11" s="71" t="str">
        <f>H11&amp;"|"&amp;COUNTIF($H$9:H11,H11)</f>
        <v>(1)당좌자산|1</v>
      </c>
      <c r="J11" s="72" t="str">
        <f>IF($A11="","",IF(ISNUMBER(MATCH($I11,재무상태표!$G:$G,0)),"✓ 일치","⚠ 확인필요"))</f>
        <v>✓ 일치</v>
      </c>
      <c r="K11" s="73">
        <f t="shared" si="1"/>
        <v>-3.4579864821147187E-2</v>
      </c>
    </row>
    <row r="12" spans="1:11" ht="17.25" customHeight="1">
      <c r="A12" s="67" t="s">
        <v>54</v>
      </c>
      <c r="B12" s="68">
        <f>IFERROR(INDEX(재무상태표!$B:$B,MATCH($I12,재무상태표!$G:$G,0)),0)</f>
        <v>0</v>
      </c>
      <c r="C12" s="83" t="str">
        <f>IFERROR(INDEX(재무상태표!$C:$C,MATCH($I12,재무상태표!$G:$G,0)),0)</f>
        <v>3,244,781</v>
      </c>
      <c r="D12" s="69"/>
      <c r="E12" s="68">
        <f>IFERROR(INDEX(재무상태표!$D:$D,MATCH($I12,재무상태표!$G:$G,0)),0)</f>
        <v>0</v>
      </c>
      <c r="F12" s="83" t="str">
        <f>IFERROR(INDEX(재무상태표!$E:$E,MATCH($I12,재무상태표!$G:$G,0)),0)</f>
        <v>6,782,551</v>
      </c>
      <c r="G12" s="70">
        <f t="shared" si="2"/>
        <v>-3537770</v>
      </c>
      <c r="H12" s="71" t="str">
        <f t="shared" si="0"/>
        <v>현금</v>
      </c>
      <c r="I12" s="71" t="str">
        <f>H12&amp;"|"&amp;COUNTIF($H$9:H12,H12)</f>
        <v>현금|1</v>
      </c>
      <c r="J12" s="72" t="str">
        <f>IF($A12="","",IF(ISNUMBER(MATCH($I12,재무상태표!$G:$G,0)),"✓ 일치","⚠ 확인필요"))</f>
        <v>✓ 일치</v>
      </c>
      <c r="K12" s="73">
        <f t="shared" si="1"/>
        <v>-0.52159873180459682</v>
      </c>
    </row>
    <row r="13" spans="1:11" ht="17.25" customHeight="1">
      <c r="A13" s="67" t="s">
        <v>55</v>
      </c>
      <c r="B13" s="68">
        <f>IFERROR(INDEX(재무상태표!$B:$B,MATCH($I13,재무상태표!$G:$G,0)),0)</f>
        <v>0</v>
      </c>
      <c r="C13" s="83" t="str">
        <f>IFERROR(INDEX(재무상태표!$C:$C,MATCH($I13,재무상태표!$G:$G,0)),0)</f>
        <v>1,660,518,435</v>
      </c>
      <c r="D13" s="69"/>
      <c r="E13" s="68">
        <f>IFERROR(INDEX(재무상태표!$D:$D,MATCH($I13,재무상태표!$G:$G,0)),0)</f>
        <v>0</v>
      </c>
      <c r="F13" s="83" t="str">
        <f>IFERROR(INDEX(재무상태표!$E:$E,MATCH($I13,재무상태표!$G:$G,0)),0)</f>
        <v>3,125,443,636</v>
      </c>
      <c r="G13" s="70">
        <f t="shared" si="2"/>
        <v>-1464925201</v>
      </c>
      <c r="H13" s="71" t="str">
        <f t="shared" si="0"/>
        <v>보통예금</v>
      </c>
      <c r="I13" s="71" t="str">
        <f>H13&amp;"|"&amp;COUNTIF($H$9:H13,H13)</f>
        <v>보통예금|1</v>
      </c>
      <c r="J13" s="72" t="str">
        <f>IF($A13="","",IF(ISNUMBER(MATCH($I13,재무상태표!$G:$G,0)),"✓ 일치","⚠ 확인필요"))</f>
        <v>✓ 일치</v>
      </c>
      <c r="K13" s="73">
        <f t="shared" si="1"/>
        <v>-0.46870952466602089</v>
      </c>
    </row>
    <row r="14" spans="1:11" ht="17.25" customHeight="1">
      <c r="A14" s="67" t="s">
        <v>56</v>
      </c>
      <c r="B14" s="68">
        <f>IFERROR(INDEX(재무상태표!$B:$B,MATCH($I14,재무상태표!$G:$G,0)),0)</f>
        <v>0</v>
      </c>
      <c r="C14" s="83" t="str">
        <f>IFERROR(INDEX(재무상태표!$C:$C,MATCH($I14,재무상태표!$G:$G,0)),0)</f>
        <v>6,800,000,000</v>
      </c>
      <c r="D14" s="69"/>
      <c r="E14" s="68">
        <f>IFERROR(INDEX(재무상태표!$D:$D,MATCH($I14,재무상태표!$G:$G,0)),0)</f>
        <v>0</v>
      </c>
      <c r="F14" s="83" t="str">
        <f>IFERROR(INDEX(재무상태표!$E:$E,MATCH($I14,재무상태표!$G:$G,0)),0)</f>
        <v>7,100,000,000</v>
      </c>
      <c r="G14" s="70">
        <f t="shared" si="2"/>
        <v>-300000000</v>
      </c>
      <c r="H14" s="71" t="str">
        <f t="shared" si="0"/>
        <v>단기금융상품</v>
      </c>
      <c r="I14" s="71" t="str">
        <f>H14&amp;"|"&amp;COUNTIF($H$9:H14,H14)</f>
        <v>단기금융상품|1</v>
      </c>
      <c r="J14" s="72" t="str">
        <f>IF($A14="","",IF(ISNUMBER(MATCH($I14,재무상태표!$G:$G,0)),"✓ 일치","⚠ 확인필요"))</f>
        <v>✓ 일치</v>
      </c>
      <c r="K14" s="73">
        <f t="shared" si="1"/>
        <v>-4.2253521126760563E-2</v>
      </c>
    </row>
    <row r="15" spans="1:11" ht="17.25" customHeight="1">
      <c r="A15" s="67" t="s">
        <v>57</v>
      </c>
      <c r="B15" s="68">
        <f>IFERROR(INDEX(재무상태표!$B:$B,MATCH($I15,재무상태표!$G:$G,0)),0)</f>
        <v>0</v>
      </c>
      <c r="C15" s="83" t="str">
        <f>IFERROR(INDEX(재무상태표!$C:$C,MATCH($I15,재무상태표!$G:$G,0)),0)</f>
        <v>588,242,162</v>
      </c>
      <c r="D15" s="69"/>
      <c r="E15" s="68">
        <f>IFERROR(INDEX(재무상태표!$D:$D,MATCH($I15,재무상태표!$G:$G,0)),0)</f>
        <v>0</v>
      </c>
      <c r="F15" s="83" t="str">
        <f>IFERROR(INDEX(재무상태표!$E:$E,MATCH($I15,재무상태표!$G:$G,0)),0)</f>
        <v>715,753,523</v>
      </c>
      <c r="G15" s="70">
        <f t="shared" si="2"/>
        <v>-127511361</v>
      </c>
      <c r="H15" s="71" t="str">
        <f t="shared" si="0"/>
        <v>외화보통예금</v>
      </c>
      <c r="I15" s="71" t="str">
        <f>H15&amp;"|"&amp;COUNTIF($H$9:H15,H15)</f>
        <v>외화보통예금|1</v>
      </c>
      <c r="J15" s="72" t="str">
        <f>IF($A15="","",IF(ISNUMBER(MATCH($I15,재무상태표!$G:$G,0)),"✓ 일치","⚠ 확인필요"))</f>
        <v>✓ 일치</v>
      </c>
      <c r="K15" s="73">
        <f t="shared" si="1"/>
        <v>-0.17814981959928125</v>
      </c>
    </row>
    <row r="16" spans="1:11" ht="17.25" customHeight="1">
      <c r="A16" s="67" t="s">
        <v>58</v>
      </c>
      <c r="B16" s="83" t="str">
        <f>IFERROR(INDEX(재무상태표!$B:$B,MATCH($I16,재무상태표!$G:$G,0)),0)</f>
        <v>3,642,484,006</v>
      </c>
      <c r="C16" s="68">
        <f>IFERROR(INDEX(재무상태표!$C:$C,MATCH($I16,재무상태표!$G:$G,0)),0)</f>
        <v>0</v>
      </c>
      <c r="D16" s="69"/>
      <c r="E16" s="83" t="str">
        <f>IFERROR(INDEX(재무상태표!$D:$D,MATCH($I16,재무상태표!$G:$G,0)),0)</f>
        <v>3,196,105,509</v>
      </c>
      <c r="F16" s="68">
        <f>IFERROR(INDEX(재무상태표!$E:$E,MATCH($I16,재무상태표!$G:$G,0)),0)</f>
        <v>0</v>
      </c>
      <c r="G16" s="70">
        <f>B16-E16</f>
        <v>446378497</v>
      </c>
      <c r="H16" s="71" t="str">
        <f t="shared" si="0"/>
        <v>외상매출금</v>
      </c>
      <c r="I16" s="71" t="str">
        <f>H16&amp;"|"&amp;COUNTIF($H$9:H16,H16)</f>
        <v>외상매출금|1</v>
      </c>
      <c r="J16" s="72" t="str">
        <f>IF($A16="","",IF(ISNUMBER(MATCH($I16,재무상태표!$G:$G,0)),"✓ 일치","⚠ 확인필요"))</f>
        <v>✓ 일치</v>
      </c>
      <c r="K16" s="73" t="str">
        <f t="shared" si="1"/>
        <v/>
      </c>
    </row>
    <row r="17" spans="1:11" ht="17.25" customHeight="1">
      <c r="A17" s="67" t="s">
        <v>59</v>
      </c>
      <c r="B17" s="83" t="str">
        <f>IFERROR(INDEX(재무상태표!$B:$B,MATCH($I17,재무상태표!$G:$G,0)),0)</f>
        <v>156,987,179</v>
      </c>
      <c r="C17" s="83" t="str">
        <f>IFERROR(INDEX(재무상태표!$C:$C,MATCH($I17,재무상태표!$G:$G,0)),0)</f>
        <v>3,485,496,827</v>
      </c>
      <c r="D17" s="69"/>
      <c r="E17" s="83" t="str">
        <f>IFERROR(INDEX(재무상태표!$D:$D,MATCH($I17,재무상태표!$G:$G,0)),0)</f>
        <v>156,987,179</v>
      </c>
      <c r="F17" s="83" t="str">
        <f>IFERROR(INDEX(재무상태표!$E:$E,MATCH($I17,재무상태표!$G:$G,0)),0)</f>
        <v>3,039,118,330</v>
      </c>
      <c r="G17" s="70">
        <f t="shared" ref="G17:G50" si="3">C17-F17</f>
        <v>446378497</v>
      </c>
      <c r="H17" s="71" t="str">
        <f t="shared" si="0"/>
        <v>대손충당금</v>
      </c>
      <c r="I17" s="71" t="str">
        <f>H17&amp;"|"&amp;COUNTIF($H$9:H17,H17)</f>
        <v>대손충당금|1</v>
      </c>
      <c r="J17" s="72" t="str">
        <f>IF($A17="","",IF(ISNUMBER(MATCH($I17,재무상태표!$G:$G,0)),"✓ 일치","⚠ 확인필요"))</f>
        <v>✓ 일치</v>
      </c>
      <c r="K17" s="73">
        <f t="shared" si="1"/>
        <v>0.14687762980258817</v>
      </c>
    </row>
    <row r="18" spans="1:11" ht="17.25" customHeight="1">
      <c r="A18" s="67" t="s">
        <v>60</v>
      </c>
      <c r="B18" s="83" t="str">
        <f>IFERROR(INDEX(재무상태표!$B:$B,MATCH($I18,재무상태표!$G:$G,0)),0)</f>
        <v>55,512,824</v>
      </c>
      <c r="C18" s="68">
        <f>IFERROR(INDEX(재무상태표!$C:$C,MATCH($I18,재무상태표!$G:$G,0)),0)</f>
        <v>0</v>
      </c>
      <c r="D18" s="69"/>
      <c r="E18" s="83" t="str">
        <f>IFERROR(INDEX(재무상태표!$D:$D,MATCH($I18,재무상태표!$G:$G,0)),0)</f>
        <v>17,134,890</v>
      </c>
      <c r="F18" s="68">
        <f>IFERROR(INDEX(재무상태표!$E:$E,MATCH($I18,재무상태표!$G:$G,0)),0)</f>
        <v>0</v>
      </c>
      <c r="G18" s="70">
        <f t="shared" si="3"/>
        <v>0</v>
      </c>
      <c r="H18" s="71" t="str">
        <f t="shared" si="0"/>
        <v>받을어음</v>
      </c>
      <c r="I18" s="71" t="str">
        <f>H18&amp;"|"&amp;COUNTIF($H$9:H18,H18)</f>
        <v>받을어음|1</v>
      </c>
      <c r="J18" s="72" t="str">
        <f>IF($A18="","",IF(ISNUMBER(MATCH($I18,재무상태표!$G:$G,0)),"✓ 일치","⚠ 확인필요"))</f>
        <v>✓ 일치</v>
      </c>
      <c r="K18" s="73" t="str">
        <f t="shared" si="1"/>
        <v/>
      </c>
    </row>
    <row r="19" spans="1:11" ht="17.25" customHeight="1">
      <c r="A19" s="67" t="s">
        <v>59</v>
      </c>
      <c r="B19" s="83" t="str">
        <f>IFERROR(INDEX(재무상태표!$B:$B,MATCH($I19,재무상태표!$G:$G,0)),0)</f>
        <v>171,300</v>
      </c>
      <c r="C19" s="83" t="str">
        <f>IFERROR(INDEX(재무상태표!$C:$C,MATCH($I19,재무상태표!$G:$G,0)),0)</f>
        <v>55,341,524</v>
      </c>
      <c r="D19" s="69"/>
      <c r="E19" s="83" t="str">
        <f>IFERROR(INDEX(재무상태표!$D:$D,MATCH($I19,재무상태표!$G:$G,0)),0)</f>
        <v>171,300</v>
      </c>
      <c r="F19" s="83" t="str">
        <f>IFERROR(INDEX(재무상태표!$E:$E,MATCH($I19,재무상태표!$G:$G,0)),0)</f>
        <v>16,963,590</v>
      </c>
      <c r="G19" s="70">
        <f t="shared" si="3"/>
        <v>38377934</v>
      </c>
      <c r="H19" s="71" t="str">
        <f t="shared" si="0"/>
        <v>대손충당금</v>
      </c>
      <c r="I19" s="71" t="str">
        <f>H19&amp;"|"&amp;COUNTIF($H$9:H19,H19)</f>
        <v>대손충당금|2</v>
      </c>
      <c r="J19" s="72" t="str">
        <f>IF($A19="","",IF(ISNUMBER(MATCH($I19,재무상태표!$G:$G,0)),"✓ 일치","⚠ 확인필요"))</f>
        <v>✓ 일치</v>
      </c>
      <c r="K19" s="73">
        <f t="shared" si="1"/>
        <v>2.2623709957621001</v>
      </c>
    </row>
    <row r="20" spans="1:11" ht="17.25" customHeight="1">
      <c r="A20" s="67" t="s">
        <v>61</v>
      </c>
      <c r="B20" s="68">
        <f>IFERROR(INDEX(재무상태표!$B:$B,MATCH($I20,재무상태표!$G:$G,0)),0)</f>
        <v>0</v>
      </c>
      <c r="C20" s="68">
        <f>IFERROR(INDEX(재무상태표!$C:$C,MATCH($I20,재무상태표!$G:$G,0)),0)</f>
        <v>0</v>
      </c>
      <c r="D20" s="84"/>
      <c r="E20" s="68">
        <f>IFERROR(INDEX(재무상태표!$D:$D,MATCH($I20,재무상태표!$G:$G,0)),0)</f>
        <v>0</v>
      </c>
      <c r="F20" s="68">
        <f>IFERROR(INDEX(재무상태표!$E:$E,MATCH($I20,재무상태표!$G:$G,0)),0)</f>
        <v>0</v>
      </c>
      <c r="G20" s="70">
        <f t="shared" si="3"/>
        <v>0</v>
      </c>
      <c r="H20" s="71" t="str">
        <f t="shared" si="0"/>
        <v>단기대여금</v>
      </c>
      <c r="I20" s="71" t="str">
        <f>H20&amp;"|"&amp;COUNTIF($H$9:H20,H20)</f>
        <v>단기대여금|1</v>
      </c>
      <c r="J20" s="72" t="str">
        <f>IF($A20="","",IF(ISNUMBER(MATCH($I20,재무상태표!$G:$G,0)),"✓ 일치","⚠ 확인필요"))</f>
        <v>⚠ 확인필요</v>
      </c>
      <c r="K20" s="73" t="str">
        <f t="shared" si="1"/>
        <v/>
      </c>
    </row>
    <row r="21" spans="1:11" ht="17.25" customHeight="1">
      <c r="A21" s="67" t="s">
        <v>62</v>
      </c>
      <c r="B21" s="68">
        <f>IFERROR(INDEX(재무상태표!$B:$B,MATCH($I21,재무상태표!$G:$G,0)),0)</f>
        <v>0</v>
      </c>
      <c r="C21" s="83" t="str">
        <f>IFERROR(INDEX(재무상태표!$C:$C,MATCH($I21,재무상태표!$G:$G,0)),0)</f>
        <v>15,136,465</v>
      </c>
      <c r="D21" s="85" t="s">
        <v>63</v>
      </c>
      <c r="E21" s="68">
        <f>IFERROR(INDEX(재무상태표!$D:$D,MATCH($I21,재무상태표!$G:$G,0)),0)</f>
        <v>0</v>
      </c>
      <c r="F21" s="83" t="str">
        <f>IFERROR(INDEX(재무상태표!$E:$E,MATCH($I21,재무상태표!$G:$G,0)),0)</f>
        <v>15,136,465</v>
      </c>
      <c r="G21" s="70">
        <f t="shared" si="3"/>
        <v>0</v>
      </c>
      <c r="H21" s="71" t="str">
        <f t="shared" si="0"/>
        <v>미수수익</v>
      </c>
      <c r="I21" s="71" t="str">
        <f>H21&amp;"|"&amp;COUNTIF($H$9:H21,H21)</f>
        <v>미수수익|1</v>
      </c>
      <c r="J21" s="72" t="str">
        <f>IF($A21="","",IF(ISNUMBER(MATCH($I21,재무상태표!$G:$G,0)),"✓ 일치","⚠ 확인필요"))</f>
        <v>✓ 일치</v>
      </c>
      <c r="K21" s="73">
        <f t="shared" si="1"/>
        <v>0</v>
      </c>
    </row>
    <row r="22" spans="1:11" ht="21.75" customHeight="1">
      <c r="A22" s="67" t="s">
        <v>64</v>
      </c>
      <c r="B22" s="68">
        <f>IFERROR(INDEX(재무상태표!$B:$B,MATCH($I22,재무상태표!$G:$G,0)),0)</f>
        <v>0</v>
      </c>
      <c r="C22" s="83" t="str">
        <f>IFERROR(INDEX(재무상태표!$C:$C,MATCH($I22,재무상태표!$G:$G,0)),0)</f>
        <v>253,437,222</v>
      </c>
      <c r="D22" s="85" t="s">
        <v>65</v>
      </c>
      <c r="E22" s="68">
        <f>IFERROR(INDEX(재무상태표!$D:$D,MATCH($I22,재무상태표!$G:$G,0)),0)</f>
        <v>0</v>
      </c>
      <c r="F22" s="83" t="str">
        <f>IFERROR(INDEX(재무상태표!$E:$E,MATCH($I22,재무상태표!$G:$G,0)),0)</f>
        <v>398,047,074</v>
      </c>
      <c r="G22" s="70">
        <f t="shared" si="3"/>
        <v>-144609852</v>
      </c>
      <c r="H22" s="71" t="str">
        <f t="shared" si="0"/>
        <v>미수금</v>
      </c>
      <c r="I22" s="71" t="str">
        <f>H22&amp;"|"&amp;COUNTIF($H$9:H22,H22)</f>
        <v>미수금|1</v>
      </c>
      <c r="J22" s="72" t="str">
        <f>IF($A22="","",IF(ISNUMBER(MATCH($I22,재무상태표!$G:$G,0)),"✓ 일치","⚠ 확인필요"))</f>
        <v>✓ 일치</v>
      </c>
      <c r="K22" s="73">
        <f t="shared" si="1"/>
        <v>-0.36329836706700674</v>
      </c>
    </row>
    <row r="23" spans="1:11" ht="24.75" customHeight="1">
      <c r="A23" s="67" t="s">
        <v>66</v>
      </c>
      <c r="B23" s="68">
        <f>IFERROR(INDEX(재무상태표!$B:$B,MATCH($I23,재무상태표!$G:$G,0)),0)</f>
        <v>0</v>
      </c>
      <c r="C23" s="83" t="str">
        <f>IFERROR(INDEX(재무상태표!$C:$C,MATCH($I23,재무상태표!$G:$G,0)),0)</f>
        <v>1,000,000</v>
      </c>
      <c r="D23" s="85" t="s">
        <v>67</v>
      </c>
      <c r="E23" s="68">
        <f>IFERROR(INDEX(재무상태표!$D:$D,MATCH($I23,재무상태표!$G:$G,0)),0)</f>
        <v>0</v>
      </c>
      <c r="F23" s="83" t="str">
        <f>IFERROR(INDEX(재무상태표!$E:$E,MATCH($I23,재무상태표!$G:$G,0)),0)</f>
        <v>1,240,000</v>
      </c>
      <c r="G23" s="70">
        <f t="shared" si="3"/>
        <v>-240000</v>
      </c>
      <c r="H23" s="71" t="str">
        <f t="shared" si="0"/>
        <v>선급금</v>
      </c>
      <c r="I23" s="71" t="str">
        <f>H23&amp;"|"&amp;COUNTIF($H$9:H23,H23)</f>
        <v>선급금|1</v>
      </c>
      <c r="J23" s="72" t="str">
        <f>IF($A23="","",IF(ISNUMBER(MATCH($I23,재무상태표!$G:$G,0)),"✓ 일치","⚠ 확인필요"))</f>
        <v>✓ 일치</v>
      </c>
      <c r="K23" s="73">
        <f t="shared" si="1"/>
        <v>-0.19354838709677419</v>
      </c>
    </row>
    <row r="24" spans="1:11" ht="17.25" customHeight="1">
      <c r="A24" s="67" t="s">
        <v>68</v>
      </c>
      <c r="B24" s="68">
        <f>IFERROR(INDEX(재무상태표!$B:$B,MATCH($I24,재무상태표!$G:$G,0)),0)</f>
        <v>0</v>
      </c>
      <c r="C24" s="83" t="str">
        <f>IFERROR(INDEX(재무상태표!$C:$C,MATCH($I24,재무상태표!$G:$G,0)),0)</f>
        <v>4,048,315</v>
      </c>
      <c r="D24" s="84" t="s">
        <v>69</v>
      </c>
      <c r="E24" s="68">
        <f>IFERROR(INDEX(재무상태표!$D:$D,MATCH($I24,재무상태표!$G:$G,0)),0)</f>
        <v>0</v>
      </c>
      <c r="F24" s="83" t="str">
        <f>IFERROR(INDEX(재무상태표!$E:$E,MATCH($I24,재무상태표!$G:$G,0)),0)</f>
        <v>9,711,144</v>
      </c>
      <c r="G24" s="70">
        <f t="shared" si="3"/>
        <v>-5662829</v>
      </c>
      <c r="H24" s="71" t="str">
        <f t="shared" si="0"/>
        <v>선급비용</v>
      </c>
      <c r="I24" s="71" t="str">
        <f>H24&amp;"|"&amp;COUNTIF($H$9:H24,H24)</f>
        <v>선급비용|1</v>
      </c>
      <c r="J24" s="72" t="str">
        <f>IF($A24="","",IF(ISNUMBER(MATCH($I24,재무상태표!$G:$G,0)),"✓ 일치","⚠ 확인필요"))</f>
        <v>✓ 일치</v>
      </c>
      <c r="K24" s="73">
        <f t="shared" si="1"/>
        <v>-0.58312686950167769</v>
      </c>
    </row>
    <row r="25" spans="1:11" ht="17.25" customHeight="1">
      <c r="A25" s="67" t="s">
        <v>70</v>
      </c>
      <c r="B25" s="68">
        <f>IFERROR(INDEX(재무상태표!$B:$B,MATCH($I25,재무상태표!$G:$G,0)),0)</f>
        <v>0</v>
      </c>
      <c r="C25" s="83" t="str">
        <f>IFERROR(INDEX(재무상태표!$C:$C,MATCH($I25,재무상태표!$G:$G,0)),0)</f>
        <v>900,032,000</v>
      </c>
      <c r="D25" s="85" t="s">
        <v>71</v>
      </c>
      <c r="E25" s="68">
        <f>IFERROR(INDEX(재무상태표!$D:$D,MATCH($I25,재무상태표!$G:$G,0)),0)</f>
        <v>0</v>
      </c>
      <c r="F25" s="68">
        <f>IFERROR(INDEX(재무상태표!$E:$E,MATCH($I25,재무상태표!$G:$G,0)),0)</f>
        <v>0</v>
      </c>
      <c r="G25" s="70">
        <f t="shared" si="3"/>
        <v>900032000</v>
      </c>
      <c r="H25" s="71" t="str">
        <f t="shared" si="0"/>
        <v>가지급금</v>
      </c>
      <c r="I25" s="71" t="str">
        <f>H25&amp;"|"&amp;COUNTIF($H$9:H25,H25)</f>
        <v>가지급금|1</v>
      </c>
      <c r="J25" s="72" t="str">
        <f>IF($A25="","",IF(ISNUMBER(MATCH($I25,재무상태표!$G:$G,0)),"✓ 일치","⚠ 확인필요"))</f>
        <v>✓ 일치</v>
      </c>
      <c r="K25" s="73" t="str">
        <f t="shared" si="1"/>
        <v/>
      </c>
    </row>
    <row r="26" spans="1:11" ht="17.25" customHeight="1">
      <c r="A26" s="67" t="s">
        <v>72</v>
      </c>
      <c r="B26" s="68">
        <f>IFERROR(INDEX(재무상태표!$B:$B,MATCH($I26,재무상태표!$G:$G,0)),0)</f>
        <v>0</v>
      </c>
      <c r="C26" s="83" t="str">
        <f>IFERROR(INDEX(재무상태표!$C:$C,MATCH($I26,재무상태표!$G:$G,0)),0)</f>
        <v>176,643,510</v>
      </c>
      <c r="D26" s="85"/>
      <c r="E26" s="68">
        <f>IFERROR(INDEX(재무상태표!$D:$D,MATCH($I26,재무상태표!$G:$G,0)),0)</f>
        <v>0</v>
      </c>
      <c r="F26" s="68">
        <f>IFERROR(INDEX(재무상태표!$E:$E,MATCH($I26,재무상태표!$G:$G,0)),0)</f>
        <v>0</v>
      </c>
      <c r="G26" s="70">
        <f t="shared" si="3"/>
        <v>176643510</v>
      </c>
      <c r="H26" s="71" t="str">
        <f t="shared" si="0"/>
        <v>부가세대급금</v>
      </c>
      <c r="I26" s="71" t="str">
        <f>H26&amp;"|"&amp;COUNTIF($H$9:H26,H26)</f>
        <v>부가세대급금|1</v>
      </c>
      <c r="J26" s="72" t="str">
        <f>IF($A26="","",IF(ISNUMBER(MATCH($I26,재무상태표!$G:$G,0)),"✓ 일치","⚠ 확인필요"))</f>
        <v>✓ 일치</v>
      </c>
      <c r="K26" s="73" t="str">
        <f t="shared" si="1"/>
        <v/>
      </c>
    </row>
    <row r="27" spans="1:11" ht="17.25" customHeight="1">
      <c r="A27" s="67" t="s">
        <v>73</v>
      </c>
      <c r="B27" s="68">
        <f>IFERROR(INDEX(재무상태표!$B:$B,MATCH($I27,재무상태표!$G:$G,0)),0)</f>
        <v>0</v>
      </c>
      <c r="C27" s="83" t="str">
        <f>IFERROR(INDEX(재무상태표!$C:$C,MATCH($I27,재무상태표!$G:$G,0)),0)</f>
        <v>17,540,440</v>
      </c>
      <c r="D27" s="86" t="s">
        <v>74</v>
      </c>
      <c r="E27" s="68">
        <f>IFERROR(INDEX(재무상태표!$D:$D,MATCH($I27,재무상태표!$G:$G,0)),0)</f>
        <v>0</v>
      </c>
      <c r="F27" s="83" t="str">
        <f>IFERROR(INDEX(재무상태표!$E:$E,MATCH($I27,재무상태표!$G:$G,0)),0)</f>
        <v>32,535,520</v>
      </c>
      <c r="G27" s="70">
        <f t="shared" si="3"/>
        <v>-14995080</v>
      </c>
      <c r="H27" s="71" t="str">
        <f t="shared" si="0"/>
        <v>선납세금</v>
      </c>
      <c r="I27" s="71" t="str">
        <f>H27&amp;"|"&amp;COUNTIF($H$9:H27,H27)</f>
        <v>선납세금|1</v>
      </c>
      <c r="J27" s="72" t="str">
        <f>IF($A27="","",IF(ISNUMBER(MATCH($I27,재무상태표!$G:$G,0)),"✓ 일치","⚠ 확인필요"))</f>
        <v>✓ 일치</v>
      </c>
      <c r="K27" s="73">
        <f t="shared" si="1"/>
        <v>-0.46088336685567033</v>
      </c>
    </row>
    <row r="28" spans="1:11" ht="17.25" customHeight="1">
      <c r="A28" s="82" t="s">
        <v>75</v>
      </c>
      <c r="B28" s="68">
        <f>IFERROR(INDEX(재무상태표!$B:$B,MATCH($I28,재무상태표!$G:$G,0)),0)</f>
        <v>0</v>
      </c>
      <c r="C28" s="83" t="str">
        <f>IFERROR(INDEX(재무상태표!$C:$C,MATCH($I28,재무상태표!$G:$G,0)),0)</f>
        <v>2,863,615,436</v>
      </c>
      <c r="D28" s="85"/>
      <c r="E28" s="68">
        <f>IFERROR(INDEX(재무상태표!$D:$D,MATCH($I28,재무상태표!$G:$G,0)),0)</f>
        <v>0</v>
      </c>
      <c r="F28" s="83" t="str">
        <f>IFERROR(INDEX(재무상태표!$E:$E,MATCH($I28,재무상태표!$G:$G,0)),0)</f>
        <v>2,126,111,102</v>
      </c>
      <c r="G28" s="70">
        <f t="shared" si="3"/>
        <v>737504334</v>
      </c>
      <c r="H28" s="71" t="str">
        <f t="shared" si="0"/>
        <v>(2)재고자산</v>
      </c>
      <c r="I28" s="71" t="str">
        <f>H28&amp;"|"&amp;COUNTIF($H$9:H28,H28)</f>
        <v>(2)재고자산|1</v>
      </c>
      <c r="J28" s="72" t="str">
        <f>IF($A28="","",IF(ISNUMBER(MATCH($I28,재무상태표!$G:$G,0)),"✓ 일치","⚠ 확인필요"))</f>
        <v>✓ 일치</v>
      </c>
      <c r="K28" s="73">
        <f t="shared" si="1"/>
        <v>0.3468794896495489</v>
      </c>
    </row>
    <row r="29" spans="1:11" ht="17.25" customHeight="1">
      <c r="A29" s="67" t="s">
        <v>76</v>
      </c>
      <c r="B29" s="68">
        <f>IFERROR(INDEX(재무상태표!$B:$B,MATCH($I29,재무상태표!$G:$G,0)),0)</f>
        <v>0</v>
      </c>
      <c r="C29" s="83" t="str">
        <f>IFERROR(INDEX(재무상태표!$C:$C,MATCH($I29,재무상태표!$G:$G,0)),0)</f>
        <v>2,863,615,436</v>
      </c>
      <c r="D29" s="85"/>
      <c r="E29" s="68">
        <f>IFERROR(INDEX(재무상태표!$D:$D,MATCH($I29,재무상태표!$G:$G,0)),0)</f>
        <v>0</v>
      </c>
      <c r="F29" s="83" t="str">
        <f>IFERROR(INDEX(재무상태표!$E:$E,MATCH($I29,재무상태표!$G:$G,0)),0)</f>
        <v>2,126,111,102</v>
      </c>
      <c r="G29" s="70">
        <f t="shared" si="3"/>
        <v>737504334</v>
      </c>
      <c r="H29" s="71" t="str">
        <f t="shared" si="0"/>
        <v>상품</v>
      </c>
      <c r="I29" s="71" t="str">
        <f>H29&amp;"|"&amp;COUNTIF($H$9:H29,H29)</f>
        <v>상품|1</v>
      </c>
      <c r="J29" s="72" t="str">
        <f>IF($A29="","",IF(ISNUMBER(MATCH($I29,재무상태표!$G:$G,0)),"✓ 일치","⚠ 확인필요"))</f>
        <v>✓ 일치</v>
      </c>
      <c r="K29" s="73">
        <f t="shared" si="1"/>
        <v>0.3468794896495489</v>
      </c>
    </row>
    <row r="30" spans="1:11" ht="17.25" customHeight="1">
      <c r="A30" s="74" t="s">
        <v>77</v>
      </c>
      <c r="B30" s="75">
        <f>IFERROR(INDEX(재무상태표!$B:$B,MATCH($I30,재무상태표!$G:$G,0)),0)</f>
        <v>0</v>
      </c>
      <c r="C30" s="76" t="str">
        <f>IFERROR(INDEX(재무상태표!$C:$C,MATCH($I30,재무상태표!$G:$G,0)),0)</f>
        <v>4,059,473,199</v>
      </c>
      <c r="D30" s="87"/>
      <c r="E30" s="75">
        <f>IFERROR(INDEX(재무상태표!$D:$D,MATCH($I30,재무상태표!$G:$G,0)),0)</f>
        <v>0</v>
      </c>
      <c r="F30" s="76" t="str">
        <f>IFERROR(INDEX(재무상태표!$E:$E,MATCH($I30,재무상태표!$G:$G,0)),0)</f>
        <v>4,055,552,394</v>
      </c>
      <c r="G30" s="78">
        <f t="shared" si="3"/>
        <v>3920805</v>
      </c>
      <c r="H30" s="79" t="str">
        <f t="shared" si="0"/>
        <v>Ⅱ.비유동자산</v>
      </c>
      <c r="I30" s="79" t="str">
        <f>H30&amp;"|"&amp;COUNTIF($H$9:H30,H30)</f>
        <v>Ⅱ.비유동자산|1</v>
      </c>
      <c r="J30" s="80" t="str">
        <f>IF($A30="","",IF(ISNUMBER(MATCH($I30,재무상태표!$G:$G,0)),"✓ 일치","⚠ 확인필요"))</f>
        <v>✓ 일치</v>
      </c>
      <c r="K30" s="81">
        <f t="shared" si="1"/>
        <v>9.6677458927682644E-4</v>
      </c>
    </row>
    <row r="31" spans="1:11" ht="17.25" customHeight="1">
      <c r="A31" s="82" t="s">
        <v>78</v>
      </c>
      <c r="B31" s="68">
        <f>IFERROR(INDEX(재무상태표!$B:$B,MATCH($I31,재무상태표!$G:$G,0)),0)</f>
        <v>0</v>
      </c>
      <c r="C31" s="83" t="str">
        <f>IFERROR(INDEX(재무상태표!$C:$C,MATCH($I31,재무상태표!$G:$G,0)),0)</f>
        <v>28,125,000</v>
      </c>
      <c r="D31" s="85"/>
      <c r="E31" s="68">
        <f>IFERROR(INDEX(재무상태표!$D:$D,MATCH($I31,재무상태표!$G:$G,0)),0)</f>
        <v>0</v>
      </c>
      <c r="F31" s="83" t="str">
        <f>IFERROR(INDEX(재무상태표!$E:$E,MATCH($I31,재무상태표!$G:$G,0)),0)</f>
        <v>28,125,000</v>
      </c>
      <c r="G31" s="70">
        <f t="shared" si="3"/>
        <v>0</v>
      </c>
      <c r="H31" s="71" t="str">
        <f t="shared" si="0"/>
        <v>(1)투자자산</v>
      </c>
      <c r="I31" s="71" t="str">
        <f>H31&amp;"|"&amp;COUNTIF($H$9:H31,H31)</f>
        <v>(1)투자자산|1</v>
      </c>
      <c r="J31" s="72" t="str">
        <f>IF($A31="","",IF(ISNUMBER(MATCH($I31,재무상태표!$G:$G,0)),"✓ 일치","⚠ 확인필요"))</f>
        <v>✓ 일치</v>
      </c>
      <c r="K31" s="73">
        <f t="shared" si="1"/>
        <v>0</v>
      </c>
    </row>
    <row r="32" spans="1:11" ht="17.25" customHeight="1">
      <c r="A32" s="67" t="s">
        <v>79</v>
      </c>
      <c r="B32" s="68">
        <f>IFERROR(INDEX(재무상태표!$B:$B,MATCH($I32,재무상태표!$G:$G,0)),0)</f>
        <v>0</v>
      </c>
      <c r="C32" s="83" t="str">
        <f>IFERROR(INDEX(재무상태표!$C:$C,MATCH($I32,재무상태표!$G:$G,0)),0)</f>
        <v>28,125,000</v>
      </c>
      <c r="D32" s="85"/>
      <c r="E32" s="68">
        <f>IFERROR(INDEX(재무상태표!$D:$D,MATCH($I32,재무상태표!$G:$G,0)),0)</f>
        <v>0</v>
      </c>
      <c r="F32" s="83" t="str">
        <f>IFERROR(INDEX(재무상태표!$E:$E,MATCH($I32,재무상태표!$G:$G,0)),0)</f>
        <v>28,125,000</v>
      </c>
      <c r="G32" s="70">
        <f t="shared" si="3"/>
        <v>0</v>
      </c>
      <c r="H32" s="71" t="str">
        <f t="shared" si="0"/>
        <v>매도가능증권</v>
      </c>
      <c r="I32" s="71" t="str">
        <f>H32&amp;"|"&amp;COUNTIF($H$9:H32,H32)</f>
        <v>매도가능증권|1</v>
      </c>
      <c r="J32" s="72" t="str">
        <f>IF($A32="","",IF(ISNUMBER(MATCH($I32,재무상태표!$G:$G,0)),"✓ 일치","⚠ 확인필요"))</f>
        <v>✓ 일치</v>
      </c>
      <c r="K32" s="73">
        <f t="shared" si="1"/>
        <v>0</v>
      </c>
    </row>
    <row r="33" spans="1:11" ht="17.25" customHeight="1">
      <c r="A33" s="82" t="s">
        <v>80</v>
      </c>
      <c r="B33" s="68">
        <f>IFERROR(INDEX(재무상태표!$B:$B,MATCH($I33,재무상태표!$G:$G,0)),0)</f>
        <v>0</v>
      </c>
      <c r="C33" s="83" t="str">
        <f>IFERROR(INDEX(재무상태표!$C:$C,MATCH($I33,재무상태표!$G:$G,0)),0)</f>
        <v>3,362,652,339</v>
      </c>
      <c r="D33" s="85"/>
      <c r="E33" s="68">
        <f>IFERROR(INDEX(재무상태표!$D:$D,MATCH($I33,재무상태표!$G:$G,0)),0)</f>
        <v>0</v>
      </c>
      <c r="F33" s="83" t="str">
        <f>IFERROR(INDEX(재무상태표!$E:$E,MATCH($I33,재무상태표!$G:$G,0)),0)</f>
        <v>3,358,731,534</v>
      </c>
      <c r="G33" s="70">
        <f t="shared" si="3"/>
        <v>3920805</v>
      </c>
      <c r="H33" s="71" t="str">
        <f t="shared" si="0"/>
        <v>(2)유형자산</v>
      </c>
      <c r="I33" s="71" t="str">
        <f>H33&amp;"|"&amp;COUNTIF($H$9:H33,H33)</f>
        <v>(2)유형자산|1</v>
      </c>
      <c r="J33" s="72" t="str">
        <f>IF($A33="","",IF(ISNUMBER(MATCH($I33,재무상태표!$G:$G,0)),"✓ 일치","⚠ 확인필요"))</f>
        <v>✓ 일치</v>
      </c>
      <c r="K33" s="73">
        <f t="shared" si="1"/>
        <v>1.1673469464022963E-3</v>
      </c>
    </row>
    <row r="34" spans="1:11" ht="17.25" customHeight="1">
      <c r="A34" s="67" t="s">
        <v>81</v>
      </c>
      <c r="B34" s="68">
        <f>IFERROR(INDEX(재무상태표!$B:$B,MATCH($I34,재무상태표!$G:$G,0)),0)</f>
        <v>0</v>
      </c>
      <c r="C34" s="83" t="str">
        <f>IFERROR(INDEX(재무상태표!$C:$C,MATCH($I34,재무상태표!$G:$G,0)),0)</f>
        <v>2,542,043,170</v>
      </c>
      <c r="D34" s="85"/>
      <c r="E34" s="68">
        <f>IFERROR(INDEX(재무상태표!$D:$D,MATCH($I34,재무상태표!$G:$G,0)),0)</f>
        <v>0</v>
      </c>
      <c r="F34" s="83" t="str">
        <f>IFERROR(INDEX(재무상태표!$E:$E,MATCH($I34,재무상태표!$G:$G,0)),0)</f>
        <v>2,542,043,170</v>
      </c>
      <c r="G34" s="70">
        <f t="shared" si="3"/>
        <v>0</v>
      </c>
      <c r="H34" s="71" t="str">
        <f t="shared" si="0"/>
        <v>토지</v>
      </c>
      <c r="I34" s="71" t="str">
        <f>H34&amp;"|"&amp;COUNTIF($H$9:H34,H34)</f>
        <v>토지|1</v>
      </c>
      <c r="J34" s="72" t="str">
        <f>IF($A34="","",IF(ISNUMBER(MATCH($I34,재무상태표!$G:$G,0)),"✓ 일치","⚠ 확인필요"))</f>
        <v>✓ 일치</v>
      </c>
      <c r="K34" s="73">
        <f t="shared" si="1"/>
        <v>0</v>
      </c>
    </row>
    <row r="35" spans="1:11" ht="17.25" customHeight="1">
      <c r="A35" s="67" t="s">
        <v>82</v>
      </c>
      <c r="B35" s="83" t="str">
        <f>IFERROR(INDEX(재무상태표!$B:$B,MATCH($I35,재무상태표!$G:$G,0)),0)</f>
        <v>877,003,320</v>
      </c>
      <c r="C35" s="68">
        <f>IFERROR(INDEX(재무상태표!$C:$C,MATCH($I35,재무상태표!$G:$G,0)),0)</f>
        <v>0</v>
      </c>
      <c r="D35" s="85"/>
      <c r="E35" s="83" t="str">
        <f>IFERROR(INDEX(재무상태표!$D:$D,MATCH($I35,재무상태표!$G:$G,0)),0)</f>
        <v>877,003,320</v>
      </c>
      <c r="F35" s="68">
        <f>IFERROR(INDEX(재무상태표!$E:$E,MATCH($I35,재무상태표!$G:$G,0)),0)</f>
        <v>0</v>
      </c>
      <c r="G35" s="70">
        <f t="shared" si="3"/>
        <v>0</v>
      </c>
      <c r="H35" s="71" t="str">
        <f t="shared" si="0"/>
        <v>건물</v>
      </c>
      <c r="I35" s="71" t="str">
        <f>H35&amp;"|"&amp;COUNTIF($H$9:H35,H35)</f>
        <v>건물|1</v>
      </c>
      <c r="J35" s="72" t="str">
        <f>IF($A35="","",IF(ISNUMBER(MATCH($I35,재무상태표!$G:$G,0)),"✓ 일치","⚠ 확인필요"))</f>
        <v>✓ 일치</v>
      </c>
      <c r="K35" s="73" t="str">
        <f t="shared" si="1"/>
        <v/>
      </c>
    </row>
    <row r="36" spans="1:11" ht="17.25" customHeight="1">
      <c r="A36" s="67" t="s">
        <v>83</v>
      </c>
      <c r="B36" s="83" t="str">
        <f>IFERROR(INDEX(재무상태표!$B:$B,MATCH($I36,재무상태표!$G:$G,0)),0)</f>
        <v>255,647,445</v>
      </c>
      <c r="C36" s="83" t="str">
        <f>IFERROR(INDEX(재무상태표!$C:$C,MATCH($I36,재무상태표!$G:$G,0)),0)</f>
        <v>621,355,875</v>
      </c>
      <c r="D36" s="85"/>
      <c r="E36" s="83" t="str">
        <f>IFERROR(INDEX(재무상태표!$D:$D,MATCH($I36,재무상태표!$G:$G,0)),0)</f>
        <v>242,857,808</v>
      </c>
      <c r="F36" s="83" t="str">
        <f>IFERROR(INDEX(재무상태표!$E:$E,MATCH($I36,재무상태표!$G:$G,0)),0)</f>
        <v>634,145,512</v>
      </c>
      <c r="G36" s="70">
        <f t="shared" si="3"/>
        <v>-12789637</v>
      </c>
      <c r="H36" s="71" t="str">
        <f t="shared" si="0"/>
        <v>감가상각누계액</v>
      </c>
      <c r="I36" s="71" t="str">
        <f>H36&amp;"|"&amp;COUNTIF($H$9:H36,H36)</f>
        <v>감가상각누계액|1</v>
      </c>
      <c r="J36" s="72" t="str">
        <f>IF($A36="","",IF(ISNUMBER(MATCH($I36,재무상태표!$G:$G,0)),"✓ 일치","⚠ 확인필요"))</f>
        <v>✓ 일치</v>
      </c>
      <c r="K36" s="73">
        <f t="shared" si="1"/>
        <v>-2.0168300110905774E-2</v>
      </c>
    </row>
    <row r="37" spans="1:11" ht="17.25" customHeight="1">
      <c r="A37" s="67" t="s">
        <v>84</v>
      </c>
      <c r="B37" s="83" t="str">
        <f>IFERROR(INDEX(재무상태표!$B:$B,MATCH($I37,재무상태표!$G:$G,0)),0)</f>
        <v>47,784,000</v>
      </c>
      <c r="C37" s="68">
        <f>IFERROR(INDEX(재무상태표!$C:$C,MATCH($I37,재무상태표!$G:$G,0)),0)</f>
        <v>0</v>
      </c>
      <c r="D37" s="85"/>
      <c r="E37" s="83" t="str">
        <f>IFERROR(INDEX(재무상태표!$D:$D,MATCH($I37,재무상태표!$G:$G,0)),0)</f>
        <v>47,784,000</v>
      </c>
      <c r="F37" s="68">
        <f>IFERROR(INDEX(재무상태표!$E:$E,MATCH($I37,재무상태표!$G:$G,0)),0)</f>
        <v>0</v>
      </c>
      <c r="G37" s="70">
        <f t="shared" si="3"/>
        <v>0</v>
      </c>
      <c r="H37" s="71" t="str">
        <f t="shared" si="0"/>
        <v>기계장치</v>
      </c>
      <c r="I37" s="71" t="str">
        <f>H37&amp;"|"&amp;COUNTIF($H$9:H37,H37)</f>
        <v>기계장치|1</v>
      </c>
      <c r="J37" s="72" t="str">
        <f>IF($A37="","",IF(ISNUMBER(MATCH($I37,재무상태표!$G:$G,0)),"✓ 일치","⚠ 확인필요"))</f>
        <v>✓ 일치</v>
      </c>
      <c r="K37" s="73" t="str">
        <f t="shared" si="1"/>
        <v/>
      </c>
    </row>
    <row r="38" spans="1:11" ht="17.25" customHeight="1">
      <c r="A38" s="67" t="s">
        <v>83</v>
      </c>
      <c r="B38" s="83" t="str">
        <f>IFERROR(INDEX(재무상태표!$B:$B,MATCH($I38,재무상태표!$G:$G,0)),0)</f>
        <v>47,775,000</v>
      </c>
      <c r="C38" s="83" t="str">
        <f>IFERROR(INDEX(재무상태표!$C:$C,MATCH($I38,재무상태표!$G:$G,0)),0)</f>
        <v>9,000</v>
      </c>
      <c r="D38" s="85"/>
      <c r="E38" s="83" t="str">
        <f>IFERROR(INDEX(재무상태표!$D:$D,MATCH($I38,재무상태표!$G:$G,0)),0)</f>
        <v>47,775,000</v>
      </c>
      <c r="F38" s="83" t="str">
        <f>IFERROR(INDEX(재무상태표!$E:$E,MATCH($I38,재무상태표!$G:$G,0)),0)</f>
        <v>9,000</v>
      </c>
      <c r="G38" s="70">
        <f t="shared" si="3"/>
        <v>0</v>
      </c>
      <c r="H38" s="71" t="str">
        <f t="shared" si="0"/>
        <v>감가상각누계액</v>
      </c>
      <c r="I38" s="71" t="str">
        <f>H38&amp;"|"&amp;COUNTIF($H$9:H38,H38)</f>
        <v>감가상각누계액|2</v>
      </c>
      <c r="J38" s="72" t="str">
        <f>IF($A38="","",IF(ISNUMBER(MATCH($I38,재무상태표!$G:$G,0)),"✓ 일치","⚠ 확인필요"))</f>
        <v>✓ 일치</v>
      </c>
      <c r="K38" s="73">
        <f t="shared" si="1"/>
        <v>0</v>
      </c>
    </row>
    <row r="39" spans="1:11" ht="17.25" customHeight="1">
      <c r="A39" s="67" t="s">
        <v>85</v>
      </c>
      <c r="B39" s="83" t="str">
        <f>IFERROR(INDEX(재무상태표!$B:$B,MATCH($I39,재무상태표!$G:$G,0)),0)</f>
        <v>921,090,734</v>
      </c>
      <c r="C39" s="68">
        <f>IFERROR(INDEX(재무상태표!$C:$C,MATCH($I39,재무상태표!$G:$G,0)),0)</f>
        <v>0</v>
      </c>
      <c r="D39" s="85"/>
      <c r="E39" s="83" t="str">
        <f>IFERROR(INDEX(재무상태표!$D:$D,MATCH($I39,재무상태표!$G:$G,0)),0)</f>
        <v>899,846,520</v>
      </c>
      <c r="F39" s="68">
        <f>IFERROR(INDEX(재무상태표!$E:$E,MATCH($I39,재무상태표!$G:$G,0)),0)</f>
        <v>0</v>
      </c>
      <c r="G39" s="70">
        <f t="shared" si="3"/>
        <v>0</v>
      </c>
      <c r="H39" s="71" t="str">
        <f t="shared" si="0"/>
        <v>차량운반구</v>
      </c>
      <c r="I39" s="71" t="str">
        <f>H39&amp;"|"&amp;COUNTIF($H$9:H39,H39)</f>
        <v>차량운반구|1</v>
      </c>
      <c r="J39" s="72" t="str">
        <f>IF($A39="","",IF(ISNUMBER(MATCH($I39,재무상태표!$G:$G,0)),"✓ 일치","⚠ 확인필요"))</f>
        <v>✓ 일치</v>
      </c>
      <c r="K39" s="73" t="str">
        <f t="shared" si="1"/>
        <v/>
      </c>
    </row>
    <row r="40" spans="1:11" ht="17.25" customHeight="1">
      <c r="A40" s="67" t="s">
        <v>83</v>
      </c>
      <c r="B40" s="83" t="str">
        <f>IFERROR(INDEX(재무상태표!$B:$B,MATCH($I40,재무상태표!$G:$G,0)),0)</f>
        <v>726,391,724</v>
      </c>
      <c r="C40" s="83" t="str">
        <f>IFERROR(INDEX(재무상태표!$C:$C,MATCH($I40,재무상태표!$G:$G,0)),0)</f>
        <v>194,699,010</v>
      </c>
      <c r="D40" s="85"/>
      <c r="E40" s="83" t="str">
        <f>IFERROR(INDEX(재무상태표!$D:$D,MATCH($I40,재무상태표!$G:$G,0)),0)</f>
        <v>723,464,949</v>
      </c>
      <c r="F40" s="83" t="str">
        <f>IFERROR(INDEX(재무상태표!$E:$E,MATCH($I40,재무상태표!$G:$G,0)),0)</f>
        <v>176,381,571</v>
      </c>
      <c r="G40" s="70">
        <f t="shared" si="3"/>
        <v>18317439</v>
      </c>
      <c r="H40" s="71" t="str">
        <f t="shared" si="0"/>
        <v>감가상각누계액</v>
      </c>
      <c r="I40" s="71" t="str">
        <f>H40&amp;"|"&amp;COUNTIF($H$9:H40,H40)</f>
        <v>감가상각누계액|3</v>
      </c>
      <c r="J40" s="72" t="str">
        <f>IF($A40="","",IF(ISNUMBER(MATCH($I40,재무상태표!$G:$G,0)),"✓ 일치","⚠ 확인필요"))</f>
        <v>✓ 일치</v>
      </c>
      <c r="K40" s="73">
        <f t="shared" si="1"/>
        <v>0.10385120676808123</v>
      </c>
    </row>
    <row r="41" spans="1:11" ht="17.25" customHeight="1">
      <c r="A41" s="67" t="s">
        <v>86</v>
      </c>
      <c r="B41" s="83" t="str">
        <f>IFERROR(INDEX(재무상태표!$B:$B,MATCH($I41,재무상태표!$G:$G,0)),0)</f>
        <v>223,445,463</v>
      </c>
      <c r="C41" s="68">
        <f>IFERROR(INDEX(재무상태표!$C:$C,MATCH($I41,재무상태표!$G:$G,0)),0)</f>
        <v>0</v>
      </c>
      <c r="D41" s="85"/>
      <c r="E41" s="83" t="str">
        <f>IFERROR(INDEX(재무상태표!$D:$D,MATCH($I41,재무상태표!$G:$G,0)),0)</f>
        <v>223,445,463</v>
      </c>
      <c r="F41" s="68">
        <f>IFERROR(INDEX(재무상태표!$E:$E,MATCH($I41,재무상태표!$G:$G,0)),0)</f>
        <v>0</v>
      </c>
      <c r="G41" s="70">
        <f t="shared" si="3"/>
        <v>0</v>
      </c>
      <c r="H41" s="71" t="str">
        <f t="shared" ref="H41:H72" si="4">SUBSTITUTE(A41," ","")</f>
        <v>비품</v>
      </c>
      <c r="I41" s="71" t="str">
        <f>H41&amp;"|"&amp;COUNTIF($H$9:H41,H41)</f>
        <v>비품|1</v>
      </c>
      <c r="J41" s="72" t="str">
        <f>IF($A41="","",IF(ISNUMBER(MATCH($I41,재무상태표!$G:$G,0)),"✓ 일치","⚠ 확인필요"))</f>
        <v>✓ 일치</v>
      </c>
      <c r="K41" s="73" t="str">
        <f t="shared" ref="K41:K76" si="5">IFERROR(IF(F41=0,"",(C41-F41)/ABS(F41)),"")</f>
        <v/>
      </c>
    </row>
    <row r="42" spans="1:11" ht="17.25" customHeight="1">
      <c r="A42" s="67" t="s">
        <v>83</v>
      </c>
      <c r="B42" s="83" t="str">
        <f>IFERROR(INDEX(재무상태표!$B:$B,MATCH($I42,재무상태표!$G:$G,0)),0)</f>
        <v>218,900,179</v>
      </c>
      <c r="C42" s="83" t="str">
        <f>IFERROR(INDEX(재무상태표!$C:$C,MATCH($I42,재무상태표!$G:$G,0)),0)</f>
        <v>4,545,284</v>
      </c>
      <c r="D42" s="85"/>
      <c r="E42" s="83" t="str">
        <f>IFERROR(INDEX(재무상태표!$D:$D,MATCH($I42,재무상태표!$G:$G,0)),0)</f>
        <v>217,293,182</v>
      </c>
      <c r="F42" s="83" t="str">
        <f>IFERROR(INDEX(재무상태표!$E:$E,MATCH($I42,재무상태표!$G:$G,0)),0)</f>
        <v>6,152,281</v>
      </c>
      <c r="G42" s="70">
        <f t="shared" si="3"/>
        <v>-1606997</v>
      </c>
      <c r="H42" s="71" t="str">
        <f t="shared" si="4"/>
        <v>감가상각누계액</v>
      </c>
      <c r="I42" s="71" t="str">
        <f>H42&amp;"|"&amp;COUNTIF($H$9:H42,H42)</f>
        <v>감가상각누계액|4</v>
      </c>
      <c r="J42" s="72" t="str">
        <f>IF($A42="","",IF(ISNUMBER(MATCH($I42,재무상태표!$G:$G,0)),"✓ 일치","⚠ 확인필요"))</f>
        <v>✓ 일치</v>
      </c>
      <c r="K42" s="73">
        <f t="shared" si="5"/>
        <v>-0.26120344633153136</v>
      </c>
    </row>
    <row r="43" spans="1:11" ht="17.25" customHeight="1">
      <c r="A43" s="82" t="s">
        <v>87</v>
      </c>
      <c r="B43" s="68">
        <f>IFERROR(INDEX(재무상태표!$B:$B,MATCH($I43,재무상태표!$G:$G,0)),0)</f>
        <v>0</v>
      </c>
      <c r="C43" s="68">
        <f>IFERROR(INDEX(재무상태표!$C:$C,MATCH($I43,재무상태표!$G:$G,0)),0)</f>
        <v>0</v>
      </c>
      <c r="D43" s="85"/>
      <c r="E43" s="68">
        <f>IFERROR(INDEX(재무상태표!$D:$D,MATCH($I43,재무상태표!$G:$G,0)),0)</f>
        <v>0</v>
      </c>
      <c r="F43" s="68">
        <f>IFERROR(INDEX(재무상태표!$E:$E,MATCH($I43,재무상태표!$G:$G,0)),0)</f>
        <v>0</v>
      </c>
      <c r="G43" s="70">
        <f t="shared" si="3"/>
        <v>0</v>
      </c>
      <c r="H43" s="71" t="str">
        <f t="shared" si="4"/>
        <v>(3)무형자산</v>
      </c>
      <c r="I43" s="71" t="str">
        <f>H43&amp;"|"&amp;COUNTIF($H$9:H43,H43)</f>
        <v>(3)무형자산|1</v>
      </c>
      <c r="J43" s="72" t="str">
        <f>IF($A43="","",IF(ISNUMBER(MATCH($I43,재무상태표!$G:$G,0)),"✓ 일치","⚠ 확인필요"))</f>
        <v>✓ 일치</v>
      </c>
      <c r="K43" s="73" t="str">
        <f t="shared" si="5"/>
        <v/>
      </c>
    </row>
    <row r="44" spans="1:11" ht="17.25" customHeight="1">
      <c r="A44" s="82" t="s">
        <v>88</v>
      </c>
      <c r="B44" s="68">
        <f>IFERROR(INDEX(재무상태표!$B:$B,MATCH($I44,재무상태표!$G:$G,0)),0)</f>
        <v>0</v>
      </c>
      <c r="C44" s="83" t="str">
        <f>IFERROR(INDEX(재무상태표!$C:$C,MATCH($I44,재무상태표!$G:$G,0)),0)</f>
        <v>668,695,860</v>
      </c>
      <c r="D44" s="85"/>
      <c r="E44" s="68">
        <f>IFERROR(INDEX(재무상태표!$D:$D,MATCH($I44,재무상태표!$G:$G,0)),0)</f>
        <v>0</v>
      </c>
      <c r="F44" s="83" t="str">
        <f>IFERROR(INDEX(재무상태표!$E:$E,MATCH($I44,재무상태표!$G:$G,0)),0)</f>
        <v>668,695,860</v>
      </c>
      <c r="G44" s="70">
        <f t="shared" si="3"/>
        <v>0</v>
      </c>
      <c r="H44" s="71" t="str">
        <f t="shared" si="4"/>
        <v>(4)기타비유동자산</v>
      </c>
      <c r="I44" s="71" t="str">
        <f>H44&amp;"|"&amp;COUNTIF($H$9:H44,H44)</f>
        <v>(4)기타비유동자산|1</v>
      </c>
      <c r="J44" s="72" t="str">
        <f>IF($A44="","",IF(ISNUMBER(MATCH($I44,재무상태표!$G:$G,0)),"✓ 일치","⚠ 확인필요"))</f>
        <v>✓ 일치</v>
      </c>
      <c r="K44" s="73">
        <f t="shared" si="5"/>
        <v>0</v>
      </c>
    </row>
    <row r="45" spans="1:11" ht="21.75" customHeight="1">
      <c r="A45" s="67" t="s">
        <v>89</v>
      </c>
      <c r="B45" s="68">
        <f>IFERROR(INDEX(재무상태표!$B:$B,MATCH($I45,재무상태표!$G:$G,0)),0)</f>
        <v>0</v>
      </c>
      <c r="C45" s="68">
        <f>IFERROR(INDEX(재무상태표!$C:$C,MATCH($I45,재무상태표!$G:$G,0)),0)</f>
        <v>0</v>
      </c>
      <c r="D45" s="85"/>
      <c r="E45" s="68">
        <f>IFERROR(INDEX(재무상태표!$D:$D,MATCH($I45,재무상태표!$G:$G,0)),0)</f>
        <v>0</v>
      </c>
      <c r="F45" s="68">
        <f>IFERROR(INDEX(재무상태표!$E:$E,MATCH($I45,재무상태표!$G:$G,0)),0)</f>
        <v>0</v>
      </c>
      <c r="G45" s="70">
        <f t="shared" si="3"/>
        <v>0</v>
      </c>
      <c r="H45" s="71" t="str">
        <f t="shared" si="4"/>
        <v>장기외상매출금</v>
      </c>
      <c r="I45" s="71" t="str">
        <f>H45&amp;"|"&amp;COUNTIF($H$9:H45,H45)</f>
        <v>장기외상매출금|1</v>
      </c>
      <c r="J45" s="72" t="str">
        <f>IF($A45="","",IF(ISNUMBER(MATCH($I45,재무상태표!$G:$G,0)),"✓ 일치","⚠ 확인필요"))</f>
        <v>⚠ 확인필요</v>
      </c>
      <c r="K45" s="73" t="str">
        <f t="shared" si="5"/>
        <v/>
      </c>
    </row>
    <row r="46" spans="1:11" ht="21.75" customHeight="1">
      <c r="A46" s="67" t="s">
        <v>59</v>
      </c>
      <c r="B46" s="68">
        <f>IFERROR(INDEX(재무상태표!$B:$B,MATCH($I46,재무상태표!$G:$G,0)),0)</f>
        <v>0</v>
      </c>
      <c r="C46" s="68">
        <f>IFERROR(INDEX(재무상태표!$C:$C,MATCH($I46,재무상태표!$G:$G,0)),0)</f>
        <v>0</v>
      </c>
      <c r="D46" s="85"/>
      <c r="E46" s="68">
        <f>IFERROR(INDEX(재무상태표!$D:$D,MATCH($I46,재무상태표!$G:$G,0)),0)</f>
        <v>0</v>
      </c>
      <c r="F46" s="68">
        <f>IFERROR(INDEX(재무상태표!$E:$E,MATCH($I46,재무상태표!$G:$G,0)),0)</f>
        <v>0</v>
      </c>
      <c r="G46" s="70">
        <f t="shared" si="3"/>
        <v>0</v>
      </c>
      <c r="H46" s="71" t="str">
        <f t="shared" si="4"/>
        <v>대손충당금</v>
      </c>
      <c r="I46" s="71" t="str">
        <f>H46&amp;"|"&amp;COUNTIF($H$9:H46,H46)</f>
        <v>대손충당금|3</v>
      </c>
      <c r="J46" s="72" t="str">
        <f>IF($A46="","",IF(ISNUMBER(MATCH($I46,재무상태표!$G:$G,0)),"✓ 일치","⚠ 확인필요"))</f>
        <v>⚠ 확인필요</v>
      </c>
      <c r="K46" s="73" t="str">
        <f t="shared" si="5"/>
        <v/>
      </c>
    </row>
    <row r="47" spans="1:11" ht="25.5" customHeight="1">
      <c r="A47" s="67" t="s">
        <v>90</v>
      </c>
      <c r="B47" s="68">
        <f>IFERROR(INDEX(재무상태표!$B:$B,MATCH($I47,재무상태표!$G:$G,0)),0)</f>
        <v>0</v>
      </c>
      <c r="C47" s="83" t="str">
        <f>IFERROR(INDEX(재무상태표!$C:$C,MATCH($I47,재무상태표!$G:$G,0)),0)</f>
        <v>140,000,000</v>
      </c>
      <c r="D47" s="85" t="s">
        <v>91</v>
      </c>
      <c r="E47" s="68">
        <f>IFERROR(INDEX(재무상태표!$D:$D,MATCH($I47,재무상태표!$G:$G,0)),0)</f>
        <v>0</v>
      </c>
      <c r="F47" s="83" t="str">
        <f>IFERROR(INDEX(재무상태표!$E:$E,MATCH($I47,재무상태표!$G:$G,0)),0)</f>
        <v>140,000,000</v>
      </c>
      <c r="G47" s="70">
        <f t="shared" si="3"/>
        <v>0</v>
      </c>
      <c r="H47" s="71" t="str">
        <f t="shared" si="4"/>
        <v>임차보증금</v>
      </c>
      <c r="I47" s="71" t="str">
        <f>H47&amp;"|"&amp;COUNTIF($H$9:H47,H47)</f>
        <v>임차보증금|1</v>
      </c>
      <c r="J47" s="72" t="str">
        <f>IF($A47="","",IF(ISNUMBER(MATCH($I47,재무상태표!$G:$G,0)),"✓ 일치","⚠ 확인필요"))</f>
        <v>✓ 일치</v>
      </c>
      <c r="K47" s="73">
        <f t="shared" si="5"/>
        <v>0</v>
      </c>
    </row>
    <row r="48" spans="1:11" ht="21.75" customHeight="1">
      <c r="A48" s="67" t="s">
        <v>92</v>
      </c>
      <c r="B48" s="68">
        <f>IFERROR(INDEX(재무상태표!$B:$B,MATCH($I48,재무상태표!$G:$G,0)),0)</f>
        <v>0</v>
      </c>
      <c r="C48" s="83" t="str">
        <f>IFERROR(INDEX(재무상태표!$C:$C,MATCH($I48,재무상태표!$G:$G,0)),0)</f>
        <v>528,095,860</v>
      </c>
      <c r="D48" s="85" t="s">
        <v>93</v>
      </c>
      <c r="E48" s="68">
        <f>IFERROR(INDEX(재무상태표!$D:$D,MATCH($I48,재무상태표!$G:$G,0)),0)</f>
        <v>0</v>
      </c>
      <c r="F48" s="83" t="str">
        <f>IFERROR(INDEX(재무상태표!$E:$E,MATCH($I48,재무상태표!$G:$G,0)),0)</f>
        <v>528,095,860</v>
      </c>
      <c r="G48" s="70">
        <f t="shared" si="3"/>
        <v>0</v>
      </c>
      <c r="H48" s="71" t="str">
        <f t="shared" si="4"/>
        <v>기타보증금</v>
      </c>
      <c r="I48" s="71" t="str">
        <f>H48&amp;"|"&amp;COUNTIF($H$9:H48,H48)</f>
        <v>기타보증금|1</v>
      </c>
      <c r="J48" s="72" t="str">
        <f>IF($A48="","",IF(ISNUMBER(MATCH($I48,재무상태표!$G:$G,0)),"✓ 일치","⚠ 확인필요"))</f>
        <v>✓ 일치</v>
      </c>
      <c r="K48" s="73">
        <f t="shared" si="5"/>
        <v>0</v>
      </c>
    </row>
    <row r="49" spans="1:11" ht="21.75" customHeight="1">
      <c r="A49" s="67" t="s">
        <v>94</v>
      </c>
      <c r="B49" s="68">
        <f>IFERROR(INDEX(재무상태표!$B:$B,MATCH($I49,재무상태표!$G:$G,0)),0)</f>
        <v>0</v>
      </c>
      <c r="C49" s="83" t="str">
        <f>IFERROR(INDEX(재무상태표!$C:$C,MATCH($I49,재무상태표!$G:$G,0)),0)</f>
        <v>600,000</v>
      </c>
      <c r="D49" s="85"/>
      <c r="E49" s="68">
        <f>IFERROR(INDEX(재무상태표!$D:$D,MATCH($I49,재무상태표!$G:$G,0)),0)</f>
        <v>0</v>
      </c>
      <c r="F49" s="83" t="str">
        <f>IFERROR(INDEX(재무상태표!$E:$E,MATCH($I49,재무상태표!$G:$G,0)),0)</f>
        <v>600,000</v>
      </c>
      <c r="G49" s="70">
        <f t="shared" si="3"/>
        <v>0</v>
      </c>
      <c r="H49" s="71" t="str">
        <f t="shared" si="4"/>
        <v>전신전화가입권</v>
      </c>
      <c r="I49" s="71" t="str">
        <f>H49&amp;"|"&amp;COUNTIF($H$9:H49,H49)</f>
        <v>전신전화가입권|1</v>
      </c>
      <c r="J49" s="72" t="str">
        <f>IF($A49="","",IF(ISNUMBER(MATCH($I49,재무상태표!$G:$G,0)),"✓ 일치","⚠ 확인필요"))</f>
        <v>✓ 일치</v>
      </c>
      <c r="K49" s="73">
        <f t="shared" si="5"/>
        <v>0</v>
      </c>
    </row>
    <row r="50" spans="1:11" ht="21.75" customHeight="1">
      <c r="A50" s="88" t="s">
        <v>95</v>
      </c>
      <c r="B50" s="75">
        <f>IFERROR(INDEX(재무상태표!$B:$B,MATCH($I50,재무상태표!$G:$G,0)),0)</f>
        <v>0</v>
      </c>
      <c r="C50" s="76" t="str">
        <f>IFERROR(INDEX(재무상태표!$C:$C,MATCH($I50,재무상태표!$G:$G,0)),0)</f>
        <v>20,883,770,316</v>
      </c>
      <c r="D50" s="89"/>
      <c r="E50" s="75">
        <f>IFERROR(INDEX(재무상태표!$D:$D,MATCH($I50,재무상태표!$G:$G,0)),0)</f>
        <v>0</v>
      </c>
      <c r="F50" s="76" t="str">
        <f>IFERROR(INDEX(재무상태표!$E:$E,MATCH($I50,재무상태표!$G:$G,0)),0)</f>
        <v>20,642,395,329</v>
      </c>
      <c r="G50" s="78">
        <f t="shared" si="3"/>
        <v>241374987</v>
      </c>
      <c r="H50" s="79" t="str">
        <f t="shared" si="4"/>
        <v>자산총계</v>
      </c>
      <c r="I50" s="79" t="str">
        <f>H50&amp;"|"&amp;COUNTIF($H$9:H50,H50)</f>
        <v>자산총계|1</v>
      </c>
      <c r="J50" s="80" t="str">
        <f>IF($A50="","",IF(ISNUMBER(MATCH($I50,재무상태표!$G:$G,0)),"✓ 일치","⚠ 확인필요"))</f>
        <v>✓ 일치</v>
      </c>
      <c r="K50" s="81">
        <f t="shared" si="5"/>
        <v>1.1693167539568344E-2</v>
      </c>
    </row>
    <row r="51" spans="1:11" ht="21.75" customHeight="1">
      <c r="A51" s="67" t="s">
        <v>96</v>
      </c>
      <c r="B51" s="68"/>
      <c r="C51" s="68"/>
      <c r="D51" s="84"/>
      <c r="E51" s="68"/>
      <c r="F51" s="68"/>
      <c r="G51" s="70"/>
      <c r="H51" s="71" t="str">
        <f t="shared" si="4"/>
        <v>부채</v>
      </c>
      <c r="I51" s="71" t="str">
        <f>H51&amp;"|"&amp;COUNTIF($H$9:H51,H51)</f>
        <v>부채|1</v>
      </c>
      <c r="J51" s="72" t="str">
        <f>IF($A51="","",IF(ISNUMBER(MATCH($I51,재무상태표!$G:$G,0)),"✓ 일치","⚠ 확인필요"))</f>
        <v>✓ 일치</v>
      </c>
      <c r="K51" s="73" t="str">
        <f t="shared" si="5"/>
        <v/>
      </c>
    </row>
    <row r="52" spans="1:11" ht="21.75" customHeight="1">
      <c r="A52" s="74" t="s">
        <v>97</v>
      </c>
      <c r="B52" s="75">
        <f>IFERROR(INDEX(재무상태표!$B:$B,MATCH($I52,재무상태표!$G:$G,0)),0)</f>
        <v>0</v>
      </c>
      <c r="C52" s="76" t="str">
        <f>IFERROR(INDEX(재무상태표!$C:$C,MATCH($I52,재무상태표!$G:$G,0)),0)</f>
        <v>2,135,947,156</v>
      </c>
      <c r="D52" s="87"/>
      <c r="E52" s="75">
        <f>IFERROR(INDEX(재무상태표!$D:$D,MATCH($I52,재무상태표!$G:$G,0)),0)</f>
        <v>0</v>
      </c>
      <c r="F52" s="76" t="str">
        <f>IFERROR(INDEX(재무상태표!$E:$E,MATCH($I52,재무상태표!$G:$G,0)),0)</f>
        <v>3,372,146,535</v>
      </c>
      <c r="G52" s="78">
        <f t="shared" ref="G52:G65" si="6">C52-F52</f>
        <v>-1236199379</v>
      </c>
      <c r="H52" s="79" t="str">
        <f t="shared" si="4"/>
        <v>Ⅰ.유동부채</v>
      </c>
      <c r="I52" s="79" t="str">
        <f>H52&amp;"|"&amp;COUNTIF($H$9:H52,H52)</f>
        <v>Ⅰ.유동부채|1</v>
      </c>
      <c r="J52" s="80" t="str">
        <f>IF($A52="","",IF(ISNUMBER(MATCH($I52,재무상태표!$G:$G,0)),"✓ 일치","⚠ 확인필요"))</f>
        <v>✓ 일치</v>
      </c>
      <c r="K52" s="81">
        <f t="shared" si="5"/>
        <v>-0.36659123978430552</v>
      </c>
    </row>
    <row r="53" spans="1:11" ht="21.75" customHeight="1">
      <c r="A53" s="67" t="s">
        <v>98</v>
      </c>
      <c r="B53" s="68">
        <f>IFERROR(INDEX(재무상태표!$B:$B,MATCH($I53,재무상태표!$G:$G,0)),0)</f>
        <v>0</v>
      </c>
      <c r="C53" s="83" t="str">
        <f>IFERROR(INDEX(재무상태표!$C:$C,MATCH($I53,재무상태표!$G:$G,0)),0)</f>
        <v>1,572,571,800</v>
      </c>
      <c r="D53" s="85"/>
      <c r="E53" s="68">
        <f>IFERROR(INDEX(재무상태표!$D:$D,MATCH($I53,재무상태표!$G:$G,0)),0)</f>
        <v>0</v>
      </c>
      <c r="F53" s="83" t="str">
        <f>IFERROR(INDEX(재무상태표!$E:$E,MATCH($I53,재무상태표!$G:$G,0)),0)</f>
        <v>2,183,714,801</v>
      </c>
      <c r="G53" s="70">
        <f t="shared" si="6"/>
        <v>-611143001</v>
      </c>
      <c r="H53" s="71" t="str">
        <f t="shared" si="4"/>
        <v>외상매입금</v>
      </c>
      <c r="I53" s="71" t="str">
        <f>H53&amp;"|"&amp;COUNTIF($H$9:H53,H53)</f>
        <v>외상매입금|1</v>
      </c>
      <c r="J53" s="72" t="str">
        <f>IF($A53="","",IF(ISNUMBER(MATCH($I53,재무상태표!$G:$G,0)),"✓ 일치","⚠ 확인필요"))</f>
        <v>✓ 일치</v>
      </c>
      <c r="K53" s="73">
        <f t="shared" si="5"/>
        <v>-0.27986392761551832</v>
      </c>
    </row>
    <row r="54" spans="1:11" ht="21.75" customHeight="1">
      <c r="A54" s="67" t="s">
        <v>99</v>
      </c>
      <c r="B54" s="68">
        <f>IFERROR(INDEX(재무상태표!$B:$B,MATCH($I54,재무상태표!$G:$G,0)),0)</f>
        <v>0</v>
      </c>
      <c r="C54" s="83" t="str">
        <f>IFERROR(INDEX(재무상태표!$C:$C,MATCH($I54,재무상태표!$G:$G,0)),0)</f>
        <v>55,401,086</v>
      </c>
      <c r="D54" s="85"/>
      <c r="E54" s="68">
        <f>IFERROR(INDEX(재무상태표!$D:$D,MATCH($I54,재무상태표!$G:$G,0)),0)</f>
        <v>0</v>
      </c>
      <c r="F54" s="83" t="str">
        <f>IFERROR(INDEX(재무상태표!$E:$E,MATCH($I54,재무상태표!$G:$G,0)),0)</f>
        <v>189,842,586</v>
      </c>
      <c r="G54" s="70">
        <f t="shared" si="6"/>
        <v>-134441500</v>
      </c>
      <c r="H54" s="71" t="str">
        <f t="shared" si="4"/>
        <v>미지급금</v>
      </c>
      <c r="I54" s="71" t="str">
        <f>H54&amp;"|"&amp;COUNTIF($H$9:H54,H54)</f>
        <v>미지급금|1</v>
      </c>
      <c r="J54" s="72" t="str">
        <f>IF($A54="","",IF(ISNUMBER(MATCH($I54,재무상태표!$G:$G,0)),"✓ 일치","⚠ 확인필요"))</f>
        <v>✓ 일치</v>
      </c>
      <c r="K54" s="73">
        <f t="shared" si="5"/>
        <v>-0.70817356017263688</v>
      </c>
    </row>
    <row r="55" spans="1:11" ht="21.75" customHeight="1">
      <c r="A55" s="67" t="s">
        <v>100</v>
      </c>
      <c r="B55" s="68">
        <f>IFERROR(INDEX(재무상태표!$B:$B,MATCH($I55,재무상태표!$G:$G,0)),0)</f>
        <v>0</v>
      </c>
      <c r="C55" s="83" t="str">
        <f>IFERROR(INDEX(재무상태표!$C:$C,MATCH($I55,재무상태표!$G:$G,0)),0)</f>
        <v>28,248,500</v>
      </c>
      <c r="D55" s="84" t="s">
        <v>101</v>
      </c>
      <c r="E55" s="68">
        <f>IFERROR(INDEX(재무상태표!$D:$D,MATCH($I55,재무상태표!$G:$G,0)),0)</f>
        <v>0</v>
      </c>
      <c r="F55" s="83" t="str">
        <f>IFERROR(INDEX(재무상태표!$E:$E,MATCH($I55,재무상태표!$G:$G,0)),0)</f>
        <v>212,932,480</v>
      </c>
      <c r="G55" s="70">
        <f t="shared" si="6"/>
        <v>-184683980</v>
      </c>
      <c r="H55" s="71" t="str">
        <f t="shared" si="4"/>
        <v>예수금</v>
      </c>
      <c r="I55" s="71" t="str">
        <f>H55&amp;"|"&amp;COUNTIF($H$9:H55,H55)</f>
        <v>예수금|1</v>
      </c>
      <c r="J55" s="72" t="str">
        <f>IF($A55="","",IF(ISNUMBER(MATCH($I55,재무상태표!$G:$G,0)),"✓ 일치","⚠ 확인필요"))</f>
        <v>✓ 일치</v>
      </c>
      <c r="K55" s="73">
        <f t="shared" si="5"/>
        <v>-0.86733588036921372</v>
      </c>
    </row>
    <row r="56" spans="1:11" ht="21.75" customHeight="1">
      <c r="A56" s="67" t="s">
        <v>102</v>
      </c>
      <c r="B56" s="68">
        <f>IFERROR(INDEX(재무상태표!$B:$B,MATCH($I56,재무상태표!$G:$G,0)),0)</f>
        <v>0</v>
      </c>
      <c r="C56" s="83" t="str">
        <f>IFERROR(INDEX(재무상태표!$C:$C,MATCH($I56,재무상태표!$G:$G,0)),0)</f>
        <v>230,664,206</v>
      </c>
      <c r="D56" s="85"/>
      <c r="E56" s="68">
        <f>IFERROR(INDEX(재무상태표!$D:$D,MATCH($I56,재무상태표!$G:$G,0)),0)</f>
        <v>0</v>
      </c>
      <c r="F56" s="68">
        <f>IFERROR(INDEX(재무상태표!$E:$E,MATCH($I56,재무상태표!$G:$G,0)),0)</f>
        <v>0</v>
      </c>
      <c r="G56" s="70">
        <f t="shared" si="6"/>
        <v>230664206</v>
      </c>
      <c r="H56" s="71" t="str">
        <f t="shared" si="4"/>
        <v>부가세예수금</v>
      </c>
      <c r="I56" s="71" t="str">
        <f>H56&amp;"|"&amp;COUNTIF($H$9:H56,H56)</f>
        <v>부가세예수금|1</v>
      </c>
      <c r="J56" s="72" t="str">
        <f>IF($A56="","",IF(ISNUMBER(MATCH($I56,재무상태표!$G:$G,0)),"✓ 일치","⚠ 확인필요"))</f>
        <v>✓ 일치</v>
      </c>
      <c r="K56" s="73" t="str">
        <f t="shared" si="5"/>
        <v/>
      </c>
    </row>
    <row r="57" spans="1:11" ht="21.75" customHeight="1">
      <c r="A57" s="67" t="s">
        <v>103</v>
      </c>
      <c r="B57" s="68">
        <f>IFERROR(INDEX(재무상태표!$B:$B,MATCH($I57,재무상태표!$G:$G,0)),0)</f>
        <v>0</v>
      </c>
      <c r="C57" s="83" t="str">
        <f>IFERROR(INDEX(재무상태표!$C:$C,MATCH($I57,재무상태표!$G:$G,0)),0)</f>
        <v>43,441,422</v>
      </c>
      <c r="D57" s="85" t="s">
        <v>104</v>
      </c>
      <c r="E57" s="68">
        <f>IFERROR(INDEX(재무상태표!$D:$D,MATCH($I57,재무상태표!$G:$G,0)),0)</f>
        <v>0</v>
      </c>
      <c r="F57" s="68">
        <f>IFERROR(INDEX(재무상태표!$E:$E,MATCH($I57,재무상태표!$G:$G,0)),0)</f>
        <v>0</v>
      </c>
      <c r="G57" s="70">
        <f t="shared" si="6"/>
        <v>43441422</v>
      </c>
      <c r="H57" s="71" t="str">
        <f t="shared" si="4"/>
        <v>가수금</v>
      </c>
      <c r="I57" s="71" t="str">
        <f>H57&amp;"|"&amp;COUNTIF($H$9:H57,H57)</f>
        <v>가수금|1</v>
      </c>
      <c r="J57" s="72" t="str">
        <f>IF($A57="","",IF(ISNUMBER(MATCH($I57,재무상태표!$G:$G,0)),"✓ 일치","⚠ 확인필요"))</f>
        <v>✓ 일치</v>
      </c>
      <c r="K57" s="73" t="str">
        <f t="shared" si="5"/>
        <v/>
      </c>
    </row>
    <row r="58" spans="1:11" ht="21.75" customHeight="1">
      <c r="A58" s="67" t="s">
        <v>105</v>
      </c>
      <c r="B58" s="68">
        <f>IFERROR(INDEX(재무상태표!$B:$B,MATCH($I58,재무상태표!$G:$G,0)),0)</f>
        <v>0</v>
      </c>
      <c r="C58" s="83" t="str">
        <f>IFERROR(INDEX(재무상태표!$C:$C,MATCH($I58,재무상태표!$G:$G,0)),0)</f>
        <v>1,490,000</v>
      </c>
      <c r="D58" s="85"/>
      <c r="E58" s="68">
        <f>IFERROR(INDEX(재무상태표!$D:$D,MATCH($I58,재무상태표!$G:$G,0)),0)</f>
        <v>0</v>
      </c>
      <c r="F58" s="83" t="str">
        <f>IFERROR(INDEX(재무상태표!$E:$E,MATCH($I58,재무상태표!$G:$G,0)),0)</f>
        <v>1,490,000</v>
      </c>
      <c r="G58" s="70">
        <f t="shared" si="6"/>
        <v>0</v>
      </c>
      <c r="H58" s="71" t="str">
        <f t="shared" si="4"/>
        <v>선수금</v>
      </c>
      <c r="I58" s="71" t="str">
        <f>H58&amp;"|"&amp;COUNTIF($H$9:H58,H58)</f>
        <v>선수금|1</v>
      </c>
      <c r="J58" s="72" t="str">
        <f>IF($A58="","",IF(ISNUMBER(MATCH($I58,재무상태표!$G:$G,0)),"✓ 일치","⚠ 확인필요"))</f>
        <v>✓ 일치</v>
      </c>
      <c r="K58" s="73">
        <f t="shared" si="5"/>
        <v>0</v>
      </c>
    </row>
    <row r="59" spans="1:11" ht="21.75" customHeight="1">
      <c r="A59" s="67" t="s">
        <v>106</v>
      </c>
      <c r="B59" s="68">
        <f>IFERROR(INDEX(재무상태표!$B:$B,MATCH($I59,재무상태표!$G:$G,0)),0)</f>
        <v>0</v>
      </c>
      <c r="C59" s="83">
        <f>IFERROR(INDEX(재무상태표!$C:$C,MATCH($I59,재무상태표!$G:$G,0)),0)</f>
        <v>0</v>
      </c>
      <c r="D59" s="84"/>
      <c r="E59" s="68">
        <f>IFERROR(INDEX(재무상태표!$D:$D,MATCH($I59,재무상태표!$G:$G,0)),0)</f>
        <v>0</v>
      </c>
      <c r="F59" s="83" t="str">
        <f>IFERROR(INDEX(재무상태표!$E:$E,MATCH($I59,재무상태표!$G:$G,0)),0)</f>
        <v>152,398,250</v>
      </c>
      <c r="G59" s="70">
        <f t="shared" si="6"/>
        <v>-152398250</v>
      </c>
      <c r="H59" s="71" t="str">
        <f t="shared" si="4"/>
        <v>미지급세금</v>
      </c>
      <c r="I59" s="71" t="str">
        <f>H59&amp;"|"&amp;COUNTIF($H$9:H59,H59)</f>
        <v>미지급세금|1</v>
      </c>
      <c r="J59" s="72" t="str">
        <f>IF($A59="","",IF(ISNUMBER(MATCH($I59,재무상태표!$G:$G,0)),"✓ 일치","⚠ 확인필요"))</f>
        <v>✓ 일치</v>
      </c>
      <c r="K59" s="73">
        <f t="shared" si="5"/>
        <v>-1</v>
      </c>
    </row>
    <row r="60" spans="1:11" ht="21.75" customHeight="1">
      <c r="A60" s="67" t="s">
        <v>107</v>
      </c>
      <c r="B60" s="68">
        <f>IFERROR(INDEX(재무상태표!$B:$B,MATCH($I60,재무상태표!$G:$G,0)),0)</f>
        <v>0</v>
      </c>
      <c r="C60" s="83" t="str">
        <f>IFERROR(INDEX(재무상태표!$C:$C,MATCH($I60,재무상태표!$G:$G,0)),0)</f>
        <v>204,130,142</v>
      </c>
      <c r="D60" s="85" t="s">
        <v>108</v>
      </c>
      <c r="E60" s="68">
        <f>IFERROR(INDEX(재무상태표!$D:$D,MATCH($I60,재무상태표!$G:$G,0)),0)</f>
        <v>0</v>
      </c>
      <c r="F60" s="83" t="str">
        <f>IFERROR(INDEX(재무상태표!$E:$E,MATCH($I60,재무상태표!$G:$G,0)),0)</f>
        <v>631,768,418</v>
      </c>
      <c r="G60" s="70">
        <f t="shared" si="6"/>
        <v>-427638276</v>
      </c>
      <c r="H60" s="71" t="str">
        <f t="shared" si="4"/>
        <v>미지급비용</v>
      </c>
      <c r="I60" s="71" t="str">
        <f>H60&amp;"|"&amp;COUNTIF($H$9:H60,H60)</f>
        <v>미지급비용|1</v>
      </c>
      <c r="J60" s="72" t="str">
        <f>IF($A60="","",IF(ISNUMBER(MATCH($I60,재무상태표!$G:$G,0)),"✓ 일치","⚠ 확인필요"))</f>
        <v>✓ 일치</v>
      </c>
      <c r="K60" s="73">
        <f t="shared" si="5"/>
        <v>-0.67689087300973627</v>
      </c>
    </row>
    <row r="61" spans="1:11" ht="21.75" customHeight="1">
      <c r="A61" s="67" t="s">
        <v>109</v>
      </c>
      <c r="B61" s="68">
        <f>IFERROR(INDEX(재무상태표!$B:$B,MATCH($I61,재무상태표!$G:$G,0)),0)</f>
        <v>0</v>
      </c>
      <c r="C61" s="68">
        <f>IFERROR(INDEX(재무상태표!$C:$C,MATCH($I61,재무상태표!$G:$G,0)),0)</f>
        <v>0</v>
      </c>
      <c r="D61" s="84"/>
      <c r="E61" s="68">
        <f>IFERROR(INDEX(재무상태표!$D:$D,MATCH($I61,재무상태표!$G:$G,0)),0)</f>
        <v>0</v>
      </c>
      <c r="F61" s="68">
        <f>IFERROR(INDEX(재무상태표!$E:$E,MATCH($I61,재무상태표!$G:$G,0)),0)</f>
        <v>0</v>
      </c>
      <c r="G61" s="70">
        <f t="shared" si="6"/>
        <v>0</v>
      </c>
      <c r="H61" s="71" t="str">
        <f t="shared" si="4"/>
        <v>미지급배당금</v>
      </c>
      <c r="I61" s="71" t="str">
        <f>H61&amp;"|"&amp;COUNTIF($H$9:H61,H61)</f>
        <v>미지급배당금|1</v>
      </c>
      <c r="J61" s="72" t="str">
        <f>IF($A61="","",IF(ISNUMBER(MATCH($I61,재무상태표!$G:$G,0)),"✓ 일치","⚠ 확인필요"))</f>
        <v>⚠ 확인필요</v>
      </c>
      <c r="K61" s="73" t="str">
        <f t="shared" si="5"/>
        <v/>
      </c>
    </row>
    <row r="62" spans="1:11" ht="21.75" customHeight="1">
      <c r="A62" s="74" t="s">
        <v>110</v>
      </c>
      <c r="B62" s="75">
        <f>IFERROR(INDEX(재무상태표!$B:$B,MATCH($I62,재무상태표!$G:$G,0)),0)</f>
        <v>0</v>
      </c>
      <c r="C62" s="76" t="str">
        <f>IFERROR(INDEX(재무상태표!$C:$C,MATCH($I62,재무상태표!$G:$G,0)),0)</f>
        <v>-65,700</v>
      </c>
      <c r="D62" s="89"/>
      <c r="E62" s="75">
        <f>IFERROR(INDEX(재무상태표!$D:$D,MATCH($I62,재무상태표!$G:$G,0)),0)</f>
        <v>0</v>
      </c>
      <c r="F62" s="76" t="str">
        <f>IFERROR(INDEX(재무상태표!$E:$E,MATCH($I62,재무상태표!$G:$G,0)),0)</f>
        <v>174,190,680</v>
      </c>
      <c r="G62" s="78">
        <f t="shared" si="6"/>
        <v>-174256380</v>
      </c>
      <c r="H62" s="79" t="str">
        <f t="shared" si="4"/>
        <v>Ⅱ.비유동부채</v>
      </c>
      <c r="I62" s="79" t="str">
        <f>H62&amp;"|"&amp;COUNTIF($H$9:H62,H62)</f>
        <v>Ⅱ.비유동부채|1</v>
      </c>
      <c r="J62" s="80" t="str">
        <f>IF($A62="","",IF(ISNUMBER(MATCH($I62,재무상태표!$G:$G,0)),"✓ 일치","⚠ 확인필요"))</f>
        <v>✓ 일치</v>
      </c>
      <c r="K62" s="81">
        <f t="shared" si="5"/>
        <v>-1.0003771728774467</v>
      </c>
    </row>
    <row r="63" spans="1:11" ht="21.75" customHeight="1">
      <c r="A63" s="67" t="s">
        <v>111</v>
      </c>
      <c r="B63" s="68">
        <f>IFERROR(INDEX(재무상태표!$B:$B,MATCH($I63,재무상태표!$G:$G,0)),0)</f>
        <v>0</v>
      </c>
      <c r="C63" s="83">
        <f>IFERROR(INDEX(재무상태표!$C:$C,MATCH($I63,재무상태표!$G:$G,0)),0)</f>
        <v>0</v>
      </c>
      <c r="D63" s="85"/>
      <c r="E63" s="68">
        <f>IFERROR(INDEX(재무상태표!$D:$D,MATCH($I63,재무상태표!$G:$G,0)),0)</f>
        <v>0</v>
      </c>
      <c r="F63" s="83" t="str">
        <f>IFERROR(INDEX(재무상태표!$E:$E,MATCH($I63,재무상태표!$G:$G,0)),0)</f>
        <v>174,256,380</v>
      </c>
      <c r="G63" s="70">
        <f t="shared" si="6"/>
        <v>-174256380</v>
      </c>
      <c r="H63" s="71" t="str">
        <f t="shared" si="4"/>
        <v>퇴직급여충당금</v>
      </c>
      <c r="I63" s="85" t="str">
        <f>H63&amp;"|"&amp;COUNTIF($H$9:H63,H63)</f>
        <v>퇴직급여충당금|1</v>
      </c>
      <c r="J63" s="72" t="str">
        <f>IF($A63="","",IF(ISNUMBER(MATCH($I63,재무상태표!$G:$G,0)),"✓ 일치","⚠ 확인필요"))</f>
        <v>✓ 일치</v>
      </c>
      <c r="K63" s="73">
        <f t="shared" si="5"/>
        <v>-1</v>
      </c>
    </row>
    <row r="64" spans="1:11" ht="21.75" customHeight="1">
      <c r="A64" s="67" t="s">
        <v>112</v>
      </c>
      <c r="B64" s="68">
        <f>IFERROR(INDEX(재무상태표!$B:$B,MATCH($I64,재무상태표!$G:$G,0)),0)</f>
        <v>0</v>
      </c>
      <c r="C64" s="83" t="str">
        <f>IFERROR(INDEX(재무상태표!$C:$C,MATCH($I64,재무상태표!$G:$G,0)),0)</f>
        <v>-65,700</v>
      </c>
      <c r="D64" s="85"/>
      <c r="E64" s="68">
        <f>IFERROR(INDEX(재무상태표!$D:$D,MATCH($I64,재무상태표!$G:$G,0)),0)</f>
        <v>0</v>
      </c>
      <c r="F64" s="83" t="str">
        <f>IFERROR(INDEX(재무상태표!$E:$E,MATCH($I64,재무상태표!$G:$G,0)),0)</f>
        <v>-65,700</v>
      </c>
      <c r="G64" s="70">
        <f t="shared" si="6"/>
        <v>0</v>
      </c>
      <c r="H64" s="71" t="str">
        <f t="shared" si="4"/>
        <v>국민연금전환금</v>
      </c>
      <c r="I64" s="71" t="str">
        <f>H64&amp;"|"&amp;COUNTIF($H$9:H64,H64)</f>
        <v>국민연금전환금|1</v>
      </c>
      <c r="J64" s="72" t="str">
        <f>IF($A64="","",IF(ISNUMBER(MATCH($I64,재무상태표!$G:$G,0)),"✓ 일치","⚠ 확인필요"))</f>
        <v>✓ 일치</v>
      </c>
      <c r="K64" s="73">
        <f t="shared" si="5"/>
        <v>0</v>
      </c>
    </row>
    <row r="65" spans="1:11" ht="21.75" customHeight="1">
      <c r="A65" s="88" t="s">
        <v>113</v>
      </c>
      <c r="B65" s="75">
        <f>IFERROR(INDEX(재무상태표!$B:$B,MATCH($I65,재무상태표!$G:$G,0)),0)</f>
        <v>0</v>
      </c>
      <c r="C65" s="76" t="str">
        <f>IFERROR(INDEX(재무상태표!$C:$C,MATCH($I65,재무상태표!$G:$G,0)),0)</f>
        <v>2,135,881,456</v>
      </c>
      <c r="D65" s="89"/>
      <c r="E65" s="75">
        <f>IFERROR(INDEX(재무상태표!$D:$D,MATCH($I65,재무상태표!$G:$G,0)),0)</f>
        <v>0</v>
      </c>
      <c r="F65" s="76" t="str">
        <f>IFERROR(INDEX(재무상태표!$E:$E,MATCH($I65,재무상태표!$G:$G,0)),0)</f>
        <v>3,546,337,215</v>
      </c>
      <c r="G65" s="78">
        <f t="shared" si="6"/>
        <v>-1410455759</v>
      </c>
      <c r="H65" s="79" t="str">
        <f t="shared" si="4"/>
        <v>부채총계</v>
      </c>
      <c r="I65" s="79" t="str">
        <f>H65&amp;"|"&amp;COUNTIF($H$9:H65,H65)</f>
        <v>부채총계|1</v>
      </c>
      <c r="J65" s="80" t="str">
        <f>IF($A65="","",IF(ISNUMBER(MATCH($I65,재무상태표!$G:$G,0)),"✓ 일치","⚠ 확인필요"))</f>
        <v>✓ 일치</v>
      </c>
      <c r="K65" s="81">
        <f t="shared" si="5"/>
        <v>-0.39772183903836678</v>
      </c>
    </row>
    <row r="66" spans="1:11" ht="21.75" customHeight="1">
      <c r="A66" s="67" t="s">
        <v>114</v>
      </c>
      <c r="B66" s="68"/>
      <c r="C66" s="68"/>
      <c r="D66" s="84"/>
      <c r="E66" s="68"/>
      <c r="F66" s="68"/>
      <c r="G66" s="70"/>
      <c r="H66" s="71" t="str">
        <f t="shared" si="4"/>
        <v>자본</v>
      </c>
      <c r="I66" s="71" t="str">
        <f>H66&amp;"|"&amp;COUNTIF($H$9:H66,H66)</f>
        <v>자본|1</v>
      </c>
      <c r="J66" s="72" t="str">
        <f>IF($A66="","",IF(ISNUMBER(MATCH($I66,재무상태표!$G:$G,0)),"✓ 일치","⚠ 확인필요"))</f>
        <v>✓ 일치</v>
      </c>
      <c r="K66" s="73" t="str">
        <f t="shared" si="5"/>
        <v/>
      </c>
    </row>
    <row r="67" spans="1:11" ht="21.75" customHeight="1">
      <c r="A67" s="74" t="s">
        <v>115</v>
      </c>
      <c r="B67" s="75">
        <f>IFERROR(INDEX(재무상태표!$B:$B,MATCH($I67,재무상태표!$G:$G,0)),0)</f>
        <v>0</v>
      </c>
      <c r="C67" s="76" t="str">
        <f>IFERROR(INDEX(재무상태표!$C:$C,MATCH($I67,재무상태표!$G:$G,0)),0)</f>
        <v>712,500,000</v>
      </c>
      <c r="D67" s="87"/>
      <c r="E67" s="75">
        <f>IFERROR(INDEX(재무상태표!$D:$D,MATCH($I67,재무상태표!$G:$G,0)),0)</f>
        <v>0</v>
      </c>
      <c r="F67" s="76" t="str">
        <f>IFERROR(INDEX(재무상태표!$E:$E,MATCH($I67,재무상태표!$G:$G,0)),0)</f>
        <v>712,500,000</v>
      </c>
      <c r="G67" s="78">
        <f t="shared" ref="G67:G80" si="7">C67-F67</f>
        <v>0</v>
      </c>
      <c r="H67" s="79" t="str">
        <f t="shared" si="4"/>
        <v>Ⅰ.자본금</v>
      </c>
      <c r="I67" s="79" t="str">
        <f>H67&amp;"|"&amp;COUNTIF($H$9:H67,H67)</f>
        <v>Ⅰ.자본금|1</v>
      </c>
      <c r="J67" s="80" t="str">
        <f>IF($A67="","",IF(ISNUMBER(MATCH($I67,재무상태표!$G:$G,0)),"✓ 일치","⚠ 확인필요"))</f>
        <v>✓ 일치</v>
      </c>
      <c r="K67" s="81">
        <f t="shared" si="5"/>
        <v>0</v>
      </c>
    </row>
    <row r="68" spans="1:11" ht="21.75" customHeight="1">
      <c r="A68" s="67" t="s">
        <v>116</v>
      </c>
      <c r="B68" s="68">
        <f>IFERROR(INDEX(재무상태표!$B:$B,MATCH($I68,재무상태표!$G:$G,0)),0)</f>
        <v>0</v>
      </c>
      <c r="C68" s="83" t="str">
        <f>IFERROR(INDEX(재무상태표!$C:$C,MATCH($I68,재무상태표!$G:$G,0)),0)</f>
        <v>712,500,000</v>
      </c>
      <c r="D68" s="85"/>
      <c r="E68" s="68">
        <f>IFERROR(INDEX(재무상태표!$D:$D,MATCH($I68,재무상태표!$G:$G,0)),0)</f>
        <v>0</v>
      </c>
      <c r="F68" s="83" t="str">
        <f>IFERROR(INDEX(재무상태표!$E:$E,MATCH($I68,재무상태표!$G:$G,0)),0)</f>
        <v>712,500,000</v>
      </c>
      <c r="G68" s="70">
        <f t="shared" si="7"/>
        <v>0</v>
      </c>
      <c r="H68" s="71" t="str">
        <f t="shared" si="4"/>
        <v>자본금</v>
      </c>
      <c r="I68" s="71" t="str">
        <f>H68&amp;"|"&amp;COUNTIF($H$9:H68,H68)</f>
        <v>자본금|1</v>
      </c>
      <c r="J68" s="72" t="str">
        <f>IF($A68="","",IF(ISNUMBER(MATCH($I68,재무상태표!$G:$G,0)),"✓ 일치","⚠ 확인필요"))</f>
        <v>✓ 일치</v>
      </c>
      <c r="K68" s="73">
        <f t="shared" si="5"/>
        <v>0</v>
      </c>
    </row>
    <row r="69" spans="1:11" ht="21.75" customHeight="1">
      <c r="A69" s="74" t="s">
        <v>117</v>
      </c>
      <c r="B69" s="75">
        <f>IFERROR(INDEX(재무상태표!$B:$B,MATCH($I69,재무상태표!$G:$G,0)),0)</f>
        <v>0</v>
      </c>
      <c r="C69" s="76" t="str">
        <f>IFERROR(INDEX(재무상태표!$C:$C,MATCH($I69,재무상태표!$G:$G,0)),0)</f>
        <v>3,051,482,755</v>
      </c>
      <c r="D69" s="87"/>
      <c r="E69" s="75">
        <f>IFERROR(INDEX(재무상태표!$D:$D,MATCH($I69,재무상태표!$G:$G,0)),0)</f>
        <v>0</v>
      </c>
      <c r="F69" s="76" t="str">
        <f>IFERROR(INDEX(재무상태표!$E:$E,MATCH($I69,재무상태표!$G:$G,0)),0)</f>
        <v>3,051,482,755</v>
      </c>
      <c r="G69" s="78">
        <f t="shared" si="7"/>
        <v>0</v>
      </c>
      <c r="H69" s="79" t="str">
        <f t="shared" si="4"/>
        <v>Ⅱ.자본잉여금</v>
      </c>
      <c r="I69" s="79" t="str">
        <f>H69&amp;"|"&amp;COUNTIF($H$9:H69,H69)</f>
        <v>Ⅱ.자본잉여금|1</v>
      </c>
      <c r="J69" s="80" t="str">
        <f>IF($A69="","",IF(ISNUMBER(MATCH($I69,재무상태표!$G:$G,0)),"✓ 일치","⚠ 확인필요"))</f>
        <v>✓ 일치</v>
      </c>
      <c r="K69" s="81">
        <f t="shared" si="5"/>
        <v>0</v>
      </c>
    </row>
    <row r="70" spans="1:11" ht="21.75" customHeight="1">
      <c r="A70" s="67" t="s">
        <v>118</v>
      </c>
      <c r="B70" s="68">
        <f>IFERROR(INDEX(재무상태표!$B:$B,MATCH($I70,재무상태표!$G:$G,0)),0)</f>
        <v>0</v>
      </c>
      <c r="C70" s="83" t="str">
        <f>IFERROR(INDEX(재무상태표!$C:$C,MATCH($I70,재무상태표!$G:$G,0)),0)</f>
        <v>3,051,482,755</v>
      </c>
      <c r="D70" s="85"/>
      <c r="E70" s="68">
        <f>IFERROR(INDEX(재무상태표!$D:$D,MATCH($I70,재무상태표!$G:$G,0)),0)</f>
        <v>0</v>
      </c>
      <c r="F70" s="83" t="str">
        <f>IFERROR(INDEX(재무상태표!$E:$E,MATCH($I70,재무상태표!$G:$G,0)),0)</f>
        <v>3,051,482,755</v>
      </c>
      <c r="G70" s="70">
        <f t="shared" si="7"/>
        <v>0</v>
      </c>
      <c r="H70" s="71" t="str">
        <f t="shared" si="4"/>
        <v>주식발행초과금</v>
      </c>
      <c r="I70" s="71" t="str">
        <f>H70&amp;"|"&amp;COUNTIF($H$9:H70,H70)</f>
        <v>주식발행초과금|1</v>
      </c>
      <c r="J70" s="72" t="str">
        <f>IF($A70="","",IF(ISNUMBER(MATCH($I70,재무상태표!$G:$G,0)),"✓ 일치","⚠ 확인필요"))</f>
        <v>✓ 일치</v>
      </c>
      <c r="K70" s="73">
        <f t="shared" si="5"/>
        <v>0</v>
      </c>
    </row>
    <row r="71" spans="1:11" ht="21.75" customHeight="1">
      <c r="A71" s="74" t="s">
        <v>119</v>
      </c>
      <c r="B71" s="75">
        <f>IFERROR(INDEX(재무상태표!$B:$B,MATCH($I71,재무상태표!$G:$G,0)),0)</f>
        <v>0</v>
      </c>
      <c r="C71" s="75">
        <f>IFERROR(INDEX(재무상태표!$C:$C,MATCH($I71,재무상태표!$G:$G,0)),0)</f>
        <v>0</v>
      </c>
      <c r="D71" s="87"/>
      <c r="E71" s="75">
        <f>IFERROR(INDEX(재무상태표!$D:$D,MATCH($I71,재무상태표!$G:$G,0)),0)</f>
        <v>0</v>
      </c>
      <c r="F71" s="75">
        <f>IFERROR(INDEX(재무상태표!$E:$E,MATCH($I71,재무상태표!$G:$G,0)),0)</f>
        <v>0</v>
      </c>
      <c r="G71" s="78">
        <f t="shared" si="7"/>
        <v>0</v>
      </c>
      <c r="H71" s="79" t="str">
        <f t="shared" si="4"/>
        <v>Ⅲ.자본조정</v>
      </c>
      <c r="I71" s="79" t="str">
        <f>H71&amp;"|"&amp;COUNTIF($H$9:H71,H71)</f>
        <v>Ⅲ.자본조정|1</v>
      </c>
      <c r="J71" s="80" t="str">
        <f>IF($A71="","",IF(ISNUMBER(MATCH($I71,재무상태표!$G:$G,0)),"✓ 일치","⚠ 확인필요"))</f>
        <v>✓ 일치</v>
      </c>
      <c r="K71" s="81" t="str">
        <f t="shared" si="5"/>
        <v/>
      </c>
    </row>
    <row r="72" spans="1:11" ht="21.75" customHeight="1">
      <c r="A72" s="74" t="s">
        <v>120</v>
      </c>
      <c r="B72" s="75">
        <f>IFERROR(INDEX(재무상태표!$B:$B,MATCH($I72,재무상태표!$G:$G,0)),0)</f>
        <v>0</v>
      </c>
      <c r="C72" s="75">
        <f>IFERROR(INDEX(재무상태표!$C:$C,MATCH($I72,재무상태표!$G:$G,0)),0)</f>
        <v>0</v>
      </c>
      <c r="D72" s="87"/>
      <c r="E72" s="75">
        <f>IFERROR(INDEX(재무상태표!$D:$D,MATCH($I72,재무상태표!$G:$G,0)),0)</f>
        <v>0</v>
      </c>
      <c r="F72" s="75">
        <f>IFERROR(INDEX(재무상태표!$E:$E,MATCH($I72,재무상태표!$G:$G,0)),0)</f>
        <v>0</v>
      </c>
      <c r="G72" s="78">
        <f t="shared" si="7"/>
        <v>0</v>
      </c>
      <c r="H72" s="79" t="str">
        <f t="shared" si="4"/>
        <v>Ⅳ.기타포괄손익누계액</v>
      </c>
      <c r="I72" s="79" t="str">
        <f>H72&amp;"|"&amp;COUNTIF($H$9:H72,H72)</f>
        <v>Ⅳ.기타포괄손익누계액|1</v>
      </c>
      <c r="J72" s="80" t="str">
        <f>IF($A72="","",IF(ISNUMBER(MATCH($I72,재무상태표!$G:$G,0)),"✓ 일치","⚠ 확인필요"))</f>
        <v>✓ 일치</v>
      </c>
      <c r="K72" s="81" t="str">
        <f t="shared" si="5"/>
        <v/>
      </c>
    </row>
    <row r="73" spans="1:11" ht="21.75" customHeight="1">
      <c r="A73" s="74" t="s">
        <v>121</v>
      </c>
      <c r="B73" s="75">
        <f>IFERROR(INDEX(재무상태표!$B:$B,MATCH($I73,재무상태표!$G:$G,0)),0)</f>
        <v>0</v>
      </c>
      <c r="C73" s="76" t="str">
        <f>IFERROR(INDEX(재무상태표!$C:$C,MATCH($I73,재무상태표!$G:$G,0)),0)</f>
        <v>14,983,906,105</v>
      </c>
      <c r="D73" s="87"/>
      <c r="E73" s="75">
        <f>IFERROR(INDEX(재무상태표!$D:$D,MATCH($I73,재무상태표!$G:$G,0)),0)</f>
        <v>0</v>
      </c>
      <c r="F73" s="76" t="str">
        <f>IFERROR(INDEX(재무상태표!$E:$E,MATCH($I73,재무상태표!$G:$G,0)),0)</f>
        <v>13,332,075,359</v>
      </c>
      <c r="G73" s="78">
        <f t="shared" si="7"/>
        <v>1651830746</v>
      </c>
      <c r="H73" s="79" t="str">
        <f t="shared" ref="H73:H80" si="8">SUBSTITUTE(A73," ","")</f>
        <v>Ⅴ.이익잉여금</v>
      </c>
      <c r="I73" s="79" t="str">
        <f>H73&amp;"|"&amp;COUNTIF($H$9:H73,H73)</f>
        <v>Ⅴ.이익잉여금|1</v>
      </c>
      <c r="J73" s="80" t="str">
        <f>IF($A73="","",IF(ISNUMBER(MATCH($I73,재무상태표!$G:$G,0)),"✓ 일치","⚠ 확인필요"))</f>
        <v>✓ 일치</v>
      </c>
      <c r="K73" s="81">
        <f t="shared" si="5"/>
        <v>0.12389899558172757</v>
      </c>
    </row>
    <row r="74" spans="1:11" ht="21.75" customHeight="1">
      <c r="A74" s="67" t="s">
        <v>122</v>
      </c>
      <c r="B74" s="68">
        <f>IFERROR(INDEX(재무상태표!$B:$B,MATCH($I74,재무상태표!$G:$G,0)),0)</f>
        <v>0</v>
      </c>
      <c r="C74" s="83" t="str">
        <f>IFERROR(INDEX(재무상태표!$C:$C,MATCH($I74,재무상태표!$G:$G,0)),0)</f>
        <v>66,000,000</v>
      </c>
      <c r="D74" s="85"/>
      <c r="E74" s="68">
        <f>IFERROR(INDEX(재무상태표!$D:$D,MATCH($I74,재무상태표!$G:$G,0)),0)</f>
        <v>0</v>
      </c>
      <c r="F74" s="83" t="str">
        <f>IFERROR(INDEX(재무상태표!$E:$E,MATCH($I74,재무상태표!$G:$G,0)),0)</f>
        <v>46,000,000</v>
      </c>
      <c r="G74" s="70">
        <f t="shared" si="7"/>
        <v>20000000</v>
      </c>
      <c r="H74" s="71" t="str">
        <f t="shared" si="8"/>
        <v>이익준비금</v>
      </c>
      <c r="I74" s="71" t="str">
        <f>H74&amp;"|"&amp;COUNTIF($H$9:H74,H74)</f>
        <v>이익준비금|1</v>
      </c>
      <c r="J74" s="72" t="str">
        <f>IF($A74="","",IF(ISNUMBER(MATCH($I74,재무상태표!$G:$G,0)),"✓ 일치","⚠ 확인필요"))</f>
        <v>✓ 일치</v>
      </c>
      <c r="K74" s="73">
        <f t="shared" si="5"/>
        <v>0.43478260869565216</v>
      </c>
    </row>
    <row r="75" spans="1:11" ht="21.75" customHeight="1">
      <c r="A75" s="67" t="s">
        <v>123</v>
      </c>
      <c r="B75" s="68">
        <f>IFERROR(INDEX(재무상태표!$B:$B,MATCH($I75,재무상태표!$G:$G,0)),0)</f>
        <v>0</v>
      </c>
      <c r="C75" s="83" t="str">
        <f>IFERROR(INDEX(재무상태표!$C:$C,MATCH($I75,재무상태표!$G:$G,0)),0)</f>
        <v>14,917,906,105</v>
      </c>
      <c r="D75" s="85"/>
      <c r="E75" s="68">
        <f>IFERROR(INDEX(재무상태표!$D:$D,MATCH($I75,재무상태표!$G:$G,0)),0)</f>
        <v>0</v>
      </c>
      <c r="F75" s="83" t="str">
        <f>IFERROR(INDEX(재무상태표!$E:$E,MATCH($I75,재무상태표!$G:$G,0)),0)</f>
        <v>13,286,075,359</v>
      </c>
      <c r="G75" s="70">
        <f t="shared" si="7"/>
        <v>1631830746</v>
      </c>
      <c r="H75" s="71" t="str">
        <f t="shared" si="8"/>
        <v>미처분이익잉여금</v>
      </c>
      <c r="I75" s="71" t="str">
        <f>H75&amp;"|"&amp;COUNTIF($H$9:H75,H75)</f>
        <v>미처분이익잉여금|1</v>
      </c>
      <c r="J75" s="72" t="str">
        <f>IF($A75="","",IF(ISNUMBER(MATCH($I75,재무상태표!$G:$G,0)),"✓ 일치","⚠ 확인필요"))</f>
        <v>✓ 일치</v>
      </c>
      <c r="K75" s="73">
        <f t="shared" si="5"/>
        <v>0.12282263210968439</v>
      </c>
    </row>
    <row r="76" spans="1:11" ht="21.75" customHeight="1">
      <c r="A76" s="82" t="s">
        <v>124</v>
      </c>
      <c r="B76" s="68">
        <f>IFERROR(INDEX(재무상태표!$B:$B,MATCH($I76,재무상태표!$G:$G,0)),0)</f>
        <v>0</v>
      </c>
      <c r="C76" s="68">
        <f>IFERROR(INDEX(재무상태표!$C:$C,MATCH($I76,재무상태표!$G:$G,0)),0)</f>
        <v>0</v>
      </c>
      <c r="D76" s="85"/>
      <c r="E76" s="68">
        <f>IFERROR(INDEX(재무상태표!$D:$D,MATCH($I76,재무상태표!$G:$G,0)),0)</f>
        <v>0</v>
      </c>
      <c r="F76" s="68">
        <f>IFERROR(INDEX(재무상태표!$E:$E,MATCH($I76,재무상태표!$G:$G,0)),0)</f>
        <v>0</v>
      </c>
      <c r="G76" s="70">
        <f t="shared" si="7"/>
        <v>0</v>
      </c>
      <c r="H76" s="71" t="str">
        <f t="shared" si="8"/>
        <v>(당기순이익)</v>
      </c>
      <c r="I76" s="71" t="str">
        <f>H76&amp;"|"&amp;COUNTIF($H$9:H76,H76)</f>
        <v>(당기순이익)|1</v>
      </c>
      <c r="J76" s="72" t="str">
        <f>IF($A76="","",IF(ISNUMBER(MATCH($I76,재무상태표!$G:$G,0)),"✓ 일치","⚠ 확인필요"))</f>
        <v>✓ 일치</v>
      </c>
      <c r="K76" s="73" t="str">
        <f t="shared" si="5"/>
        <v/>
      </c>
    </row>
    <row r="77" spans="1:11" ht="21.75" customHeight="1">
      <c r="A77" s="67" t="str">
        <f>"   당기 :     "&amp;TEXT(손익계산서!C48,"#,##0")</f>
        <v xml:space="preserve">   당기 :     1,851,830,746</v>
      </c>
      <c r="B77" s="68"/>
      <c r="C77" s="68"/>
      <c r="D77" s="85"/>
      <c r="E77" s="68"/>
      <c r="F77" s="68"/>
      <c r="G77" s="70">
        <f t="shared" si="7"/>
        <v>0</v>
      </c>
      <c r="H77" s="71" t="str">
        <f t="shared" si="8"/>
        <v>당기:1,851,830,746</v>
      </c>
      <c r="I77" s="71" t="str">
        <f>H77&amp;"|"&amp;COUNTIF($H$9:H77,H77)</f>
        <v>당기:1,851,830,746|1</v>
      </c>
      <c r="J77" s="90"/>
      <c r="K77" s="90"/>
    </row>
    <row r="78" spans="1:11" ht="21.75" customHeight="1">
      <c r="A78" s="67" t="str">
        <f>"   전기 :     "&amp;TEXT(손익계산서!E48,"#,##0")</f>
        <v xml:space="preserve">   전기 :     1,412,482,819</v>
      </c>
      <c r="B78" s="68"/>
      <c r="C78" s="68"/>
      <c r="D78" s="85"/>
      <c r="E78" s="68"/>
      <c r="F78" s="68"/>
      <c r="G78" s="70">
        <f t="shared" si="7"/>
        <v>0</v>
      </c>
      <c r="H78" s="71" t="str">
        <f t="shared" si="8"/>
        <v>전기:1,412,482,819</v>
      </c>
      <c r="I78" s="71" t="str">
        <f>H78&amp;"|"&amp;COUNTIF($H$9:H78,H78)</f>
        <v>전기:1,412,482,819|1</v>
      </c>
      <c r="J78" s="90"/>
      <c r="K78" s="90"/>
    </row>
    <row r="79" spans="1:11" ht="21.75" customHeight="1">
      <c r="A79" s="88" t="s">
        <v>125</v>
      </c>
      <c r="B79" s="75">
        <f>IFERROR(INDEX(재무상태표!$B:$B,MATCH($I79,재무상태표!$G:$G,0)),0)</f>
        <v>0</v>
      </c>
      <c r="C79" s="76" t="str">
        <f>IFERROR(INDEX(재무상태표!$C:$C,MATCH($I79,재무상태표!$G:$G,0)),0)</f>
        <v>18,747,888,860</v>
      </c>
      <c r="D79" s="89"/>
      <c r="E79" s="75">
        <f>IFERROR(INDEX(재무상태표!$D:$D,MATCH($I79,재무상태표!$G:$G,0)),0)</f>
        <v>0</v>
      </c>
      <c r="F79" s="76" t="str">
        <f>IFERROR(INDEX(재무상태표!$E:$E,MATCH($I79,재무상태표!$G:$G,0)),0)</f>
        <v>17,096,058,114</v>
      </c>
      <c r="G79" s="78">
        <f t="shared" si="7"/>
        <v>1651830746</v>
      </c>
      <c r="H79" s="79" t="str">
        <f t="shared" si="8"/>
        <v>자본총계</v>
      </c>
      <c r="I79" s="79" t="str">
        <f>H79&amp;"|"&amp;COUNTIF($H$9:H79,H79)</f>
        <v>자본총계|1</v>
      </c>
      <c r="J79" s="80" t="str">
        <f>IF($A79="","",IF(ISNUMBER(MATCH($I79,재무상태표!$G:$G,0)),"✓ 일치","⚠ 확인필요"))</f>
        <v>✓ 일치</v>
      </c>
      <c r="K79" s="81">
        <f>IFERROR(IF(F79=0,"",(C79-F79)/ABS(F79)),"")</f>
        <v>9.6620562177857375E-2</v>
      </c>
    </row>
    <row r="80" spans="1:11" ht="21.75" customHeight="1">
      <c r="A80" s="88" t="s">
        <v>126</v>
      </c>
      <c r="B80" s="75">
        <f>IFERROR(INDEX(재무상태표!$B:$B,MATCH($I80,재무상태표!$G:$G,0)),0)</f>
        <v>0</v>
      </c>
      <c r="C80" s="76" t="str">
        <f>IFERROR(INDEX(재무상태표!$C:$C,MATCH($I80,재무상태표!$G:$G,0)),0)</f>
        <v>20,883,770,316</v>
      </c>
      <c r="D80" s="89"/>
      <c r="E80" s="75">
        <f>IFERROR(INDEX(재무상태표!$D:$D,MATCH($I80,재무상태표!$G:$G,0)),0)</f>
        <v>0</v>
      </c>
      <c r="F80" s="76" t="str">
        <f>IFERROR(INDEX(재무상태표!$E:$E,MATCH($I80,재무상태표!$G:$G,0)),0)</f>
        <v>20,642,395,329</v>
      </c>
      <c r="G80" s="78">
        <f t="shared" si="7"/>
        <v>241374987</v>
      </c>
      <c r="H80" s="79" t="str">
        <f t="shared" si="8"/>
        <v>부채및자본총계</v>
      </c>
      <c r="I80" s="79" t="str">
        <f>H80&amp;"|"&amp;COUNTIF($H$9:H80,H80)</f>
        <v>부채및자본총계|1</v>
      </c>
      <c r="J80" s="80" t="str">
        <f>IF($A80="","",IF(ISNUMBER(MATCH($I80,재무상태표!$G:$G,0)),"✓ 일치","⚠ 확인필요"))</f>
        <v>✓ 일치</v>
      </c>
      <c r="K80" s="81">
        <f>IFERROR(IF(F80=0,"",(C80-F80)/ABS(F80)),"")</f>
        <v>1.1693167539568344E-2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80">
    <cfRule type="expression" dxfId="16" priority="5">
      <formula>$J9="✓ 일치"</formula>
    </cfRule>
    <cfRule type="expression" dxfId="15" priority="6">
      <formula>$J9="⚠ 확인필요"</formula>
    </cfRule>
    <cfRule type="expression" dxfId="14" priority="7">
      <formula>$J9="✓ 일치"</formula>
    </cfRule>
    <cfRule type="expression" dxfId="13" priority="8">
      <formula>$J9="⚠ 확인필요"</formula>
    </cfRule>
  </conditionalFormatting>
  <conditionalFormatting sqref="K9:K80">
    <cfRule type="cellIs" dxfId="12" priority="2" operator="greaterThan">
      <formula>0</formula>
    </cfRule>
    <cfRule type="cellIs" dxfId="11" priority="3" operator="lessThan">
      <formula>0</formula>
    </cfRule>
    <cfRule type="expression" dxfId="10" priority="4">
      <formula>ABS($K9)&gt;0.2</formula>
    </cfRule>
  </conditionalFormatting>
  <printOptions horizontalCentered="1"/>
  <pageMargins left="0.39374999999999999" right="0.39374999999999999" top="0.59027777777777801" bottom="0.55138888888888904" header="0.511811023622047" footer="0.31527777777777799"/>
  <pageSetup paperSize="9" scale="66" orientation="portrait" verticalDpi="300" r:id="rId1"/>
  <headerFooter>
    <oddFooter>&amp;C&amp;P/2</oddFooter>
  </headerFooter>
  <rowBreaks count="1" manualBreakCount="1">
    <brk id="61" max="16383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C00"/>
  </sheetPr>
  <dimension ref="A1:P61"/>
  <sheetViews>
    <sheetView topLeftCell="A46" zoomScaleNormal="100" workbookViewId="0">
      <selection activeCell="P63" sqref="P63"/>
    </sheetView>
  </sheetViews>
  <sheetFormatPr defaultColWidth="9.1640625" defaultRowHeight="11.25"/>
  <cols>
    <col min="1" max="1" width="29.6640625" customWidth="1"/>
    <col min="2" max="3" width="20" customWidth="1"/>
    <col min="4" max="4" width="12.5" customWidth="1"/>
    <col min="5" max="6" width="20" customWidth="1"/>
    <col min="7" max="7" width="13.1640625" customWidth="1"/>
    <col min="8" max="9" width="13" hidden="1" customWidth="1"/>
    <col min="10" max="10" width="12" hidden="1" customWidth="1"/>
    <col min="11" max="11" width="13" hidden="1" customWidth="1"/>
  </cols>
  <sheetData>
    <row r="1" spans="1:11" ht="18" customHeight="1">
      <c r="A1" s="149" t="s">
        <v>127</v>
      </c>
      <c r="B1" s="127"/>
      <c r="C1" s="127"/>
      <c r="D1" s="127"/>
      <c r="E1" s="127"/>
      <c r="F1" s="127"/>
      <c r="G1" s="127"/>
    </row>
    <row r="2" spans="1:11" ht="6.75" customHeight="1">
      <c r="A2" s="61"/>
      <c r="B2" s="61"/>
      <c r="C2" s="61"/>
      <c r="D2" s="61"/>
      <c r="E2" s="61"/>
      <c r="F2" s="61"/>
      <c r="G2" s="61"/>
    </row>
    <row r="3" spans="1:11" s="5" customFormat="1" ht="15.75" customHeight="1">
      <c r="A3" s="151" t="str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>(당기) 2026년01월01일 - 2026년07월31일</v>
      </c>
      <c r="B3" s="153"/>
      <c r="C3" s="153"/>
      <c r="D3" s="153"/>
      <c r="E3" s="153"/>
      <c r="F3" s="153"/>
      <c r="G3" s="153"/>
    </row>
    <row r="4" spans="1:11" s="5" customFormat="1" ht="15.75" customHeight="1">
      <c r="A4" s="151" t="str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>(전기) 2025년01월01일 - 2025년12월31일</v>
      </c>
      <c r="B4" s="153"/>
      <c r="C4" s="153"/>
      <c r="D4" s="153"/>
      <c r="E4" s="153"/>
      <c r="F4" s="153"/>
      <c r="G4" s="153"/>
    </row>
    <row r="5" spans="1:11" ht="9" customHeight="1">
      <c r="C5" s="63"/>
    </row>
    <row r="6" spans="1:11" ht="11.25" customHeight="1">
      <c r="A6" s="63" t="s">
        <v>41</v>
      </c>
      <c r="G6" s="64" t="s">
        <v>42</v>
      </c>
    </row>
    <row r="7" spans="1:11" ht="15.75" customHeight="1">
      <c r="A7" s="150" t="s">
        <v>43</v>
      </c>
      <c r="B7" s="150" t="s">
        <v>44</v>
      </c>
      <c r="C7" s="130"/>
      <c r="D7" s="154" t="s">
        <v>128</v>
      </c>
      <c r="E7" s="150" t="s">
        <v>46</v>
      </c>
      <c r="F7" s="130"/>
      <c r="G7" s="154" t="s">
        <v>128</v>
      </c>
      <c r="J7" s="66" t="s">
        <v>48</v>
      </c>
      <c r="K7" s="66" t="s">
        <v>129</v>
      </c>
    </row>
    <row r="8" spans="1:11" ht="15.75" customHeight="1">
      <c r="A8" s="152"/>
      <c r="B8" s="150" t="s">
        <v>49</v>
      </c>
      <c r="C8" s="130"/>
      <c r="D8" s="152"/>
      <c r="E8" s="150" t="s">
        <v>50</v>
      </c>
      <c r="F8" s="130"/>
      <c r="G8" s="152"/>
    </row>
    <row r="9" spans="1:11" ht="16.5" customHeight="1">
      <c r="A9" s="74" t="s">
        <v>130</v>
      </c>
      <c r="B9" s="91">
        <f>IFERROR(INDEX(손익계산서!$B:$B,MATCH($I9,손익계산서!$G:$G,0)),0)</f>
        <v>0</v>
      </c>
      <c r="C9" s="91">
        <f>IFERROR(INDEX(손익계산서!$C:$C,MATCH($I9,손익계산서!$G:$G,0)),0)</f>
        <v>21519965336</v>
      </c>
      <c r="D9" s="92">
        <f>C9/C9</f>
        <v>1</v>
      </c>
      <c r="E9" s="91">
        <f>IFERROR(INDEX(손익계산서!$D:$D,MATCH($I9,손익계산서!$G:$G,0)),0)</f>
        <v>0</v>
      </c>
      <c r="F9" s="91">
        <f>IFERROR(INDEX(손익계산서!$E:$E,MATCH($I9,손익계산서!$G:$G,0)),0)</f>
        <v>35759715334</v>
      </c>
      <c r="G9" s="92">
        <f>F9/F9</f>
        <v>1</v>
      </c>
      <c r="H9" t="str">
        <f t="shared" ref="H9:H40" si="0">SUBSTITUTE(A9," ","")</f>
        <v>Ⅰ.매출액</v>
      </c>
      <c r="I9" t="str">
        <f>H9&amp;"|"&amp;COUNTIF($H$9:H9,H9)</f>
        <v>Ⅰ.매출액|1</v>
      </c>
      <c r="J9" s="93" t="str">
        <f>IF($A9="","",IF(ISNUMBER(MATCH($I9,손익계산서!$G:$G,0)),"✓ 일치","⚠ 확인필요"))</f>
        <v>✓ 일치</v>
      </c>
      <c r="K9" s="94">
        <f t="shared" ref="K9:K40" si="1">IFERROR(IF(OR(D9="",G9=""),"",D9-G9),"")</f>
        <v>0</v>
      </c>
    </row>
    <row r="10" spans="1:11" ht="16.5" customHeight="1">
      <c r="A10" s="67" t="s">
        <v>131</v>
      </c>
      <c r="B10" s="95">
        <f>IFERROR(INDEX(손익계산서!$B:$B,MATCH($I10,손익계산서!$G:$G,0)),0)</f>
        <v>21466362478</v>
      </c>
      <c r="C10" s="95">
        <f>IFERROR(INDEX(손익계산서!$C:$C,MATCH($I10,손익계산서!$G:$G,0)),0)</f>
        <v>0</v>
      </c>
      <c r="D10" s="96"/>
      <c r="E10" s="95">
        <f>IFERROR(INDEX(손익계산서!$D:$D,MATCH($I10,손익계산서!$G:$G,0)),0)</f>
        <v>35616332337</v>
      </c>
      <c r="F10" s="95">
        <f>IFERROR(INDEX(손익계산서!$E:$E,MATCH($I10,손익계산서!$G:$G,0)),0)</f>
        <v>0</v>
      </c>
      <c r="G10" s="96"/>
      <c r="H10" t="str">
        <f t="shared" si="0"/>
        <v>상품매출</v>
      </c>
      <c r="I10" t="str">
        <f>H10&amp;"|"&amp;COUNTIF($H$9:H10,H10)</f>
        <v>상품매출|1</v>
      </c>
      <c r="J10" s="93" t="str">
        <f>IF($A10="","",IF(ISNUMBER(MATCH($I10,손익계산서!$G:$G,0)),"✓ 일치","⚠ 확인필요"))</f>
        <v>✓ 일치</v>
      </c>
      <c r="K10" s="94" t="str">
        <f t="shared" si="1"/>
        <v/>
      </c>
    </row>
    <row r="11" spans="1:11" ht="16.5" customHeight="1">
      <c r="A11" s="67" t="s">
        <v>132</v>
      </c>
      <c r="B11" s="95">
        <f>IFERROR(INDEX(손익계산서!$B:$B,MATCH($I11,손익계산서!$G:$G,0)),0)</f>
        <v>53602858</v>
      </c>
      <c r="C11" s="95">
        <f>IFERROR(INDEX(손익계산서!$C:$C,MATCH($I11,손익계산서!$G:$G,0)),0)</f>
        <v>0</v>
      </c>
      <c r="D11" s="96"/>
      <c r="E11" s="95">
        <f>IFERROR(INDEX(손익계산서!$D:$D,MATCH($I11,손익계산서!$G:$G,0)),0)</f>
        <v>143382997</v>
      </c>
      <c r="F11" s="95">
        <f>IFERROR(INDEX(손익계산서!$E:$E,MATCH($I11,손익계산서!$G:$G,0)),0)</f>
        <v>0</v>
      </c>
      <c r="G11" s="96"/>
      <c r="H11" t="str">
        <f t="shared" si="0"/>
        <v>상품수출매출</v>
      </c>
      <c r="I11" t="str">
        <f>H11&amp;"|"&amp;COUNTIF($H$9:H11,H11)</f>
        <v>상품수출매출|1</v>
      </c>
      <c r="J11" s="93" t="str">
        <f>IF($A11="","",IF(ISNUMBER(MATCH($I11,손익계산서!$G:$G,0)),"✓ 일치","⚠ 확인필요"))</f>
        <v>✓ 일치</v>
      </c>
      <c r="K11" s="94" t="str">
        <f t="shared" si="1"/>
        <v/>
      </c>
    </row>
    <row r="12" spans="1:11" ht="16.5" customHeight="1">
      <c r="A12" s="74" t="s">
        <v>133</v>
      </c>
      <c r="B12" s="91">
        <f>IFERROR(INDEX(손익계산서!$B:$B,MATCH($I12,손익계산서!$G:$G,0)),0)</f>
        <v>0</v>
      </c>
      <c r="C12" s="91">
        <f>IFERROR(INDEX(손익계산서!$C:$C,MATCH($I12,손익계산서!$G:$G,0)),0)</f>
        <v>17650813148</v>
      </c>
      <c r="D12" s="92">
        <f>C12/C9</f>
        <v>0.82020639310568821</v>
      </c>
      <c r="E12" s="91">
        <f>IFERROR(INDEX(손익계산서!$D:$D,MATCH($I12,손익계산서!$G:$G,0)),0)</f>
        <v>0</v>
      </c>
      <c r="F12" s="91">
        <f>IFERROR(INDEX(손익계산서!$E:$E,MATCH($I12,손익계산서!$G:$G,0)),0)</f>
        <v>29846027632</v>
      </c>
      <c r="G12" s="92">
        <f>F12/F9</f>
        <v>0.83462710352234482</v>
      </c>
      <c r="H12" t="str">
        <f t="shared" si="0"/>
        <v>Ⅱ.매출원가</v>
      </c>
      <c r="I12" t="str">
        <f>H12&amp;"|"&amp;COUNTIF($H$9:H12,H12)</f>
        <v>Ⅱ.매출원가|1</v>
      </c>
      <c r="J12" s="93" t="str">
        <f>IF($A12="","",IF(ISNUMBER(MATCH($I12,손익계산서!$G:$G,0)),"✓ 일치","⚠ 확인필요"))</f>
        <v>✓ 일치</v>
      </c>
      <c r="K12" s="94">
        <f t="shared" si="1"/>
        <v>-1.4420710416656601E-2</v>
      </c>
    </row>
    <row r="13" spans="1:11" ht="16.5" customHeight="1">
      <c r="A13" s="67" t="s">
        <v>134</v>
      </c>
      <c r="B13" s="95">
        <f>IFERROR(INDEX(손익계산서!$B:$B,MATCH($I13,손익계산서!$G:$G,0)),0)</f>
        <v>0</v>
      </c>
      <c r="C13" s="95">
        <f>IFERROR(INDEX(손익계산서!$C:$C,MATCH($I13,손익계산서!$G:$G,0)),0)</f>
        <v>17650813148</v>
      </c>
      <c r="D13" s="96"/>
      <c r="E13" s="95">
        <f>IFERROR(INDEX(손익계산서!$D:$D,MATCH($I13,손익계산서!$G:$G,0)),0)</f>
        <v>0</v>
      </c>
      <c r="F13" s="95">
        <f>IFERROR(INDEX(손익계산서!$E:$E,MATCH($I13,손익계산서!$G:$G,0)),0)</f>
        <v>29846027632</v>
      </c>
      <c r="G13" s="96"/>
      <c r="H13" t="str">
        <f t="shared" si="0"/>
        <v>상품매출원가</v>
      </c>
      <c r="I13" t="str">
        <f>H13&amp;"|"&amp;COUNTIF($H$9:H13,H13)</f>
        <v>상품매출원가|1</v>
      </c>
      <c r="J13" s="93" t="str">
        <f>IF($A13="","",IF(ISNUMBER(MATCH($I13,손익계산서!$G:$G,0)),"✓ 일치","⚠ 확인필요"))</f>
        <v>✓ 일치</v>
      </c>
      <c r="K13" s="94" t="str">
        <f t="shared" si="1"/>
        <v/>
      </c>
    </row>
    <row r="14" spans="1:11" ht="16.5" customHeight="1">
      <c r="A14" s="67" t="s">
        <v>135</v>
      </c>
      <c r="B14" s="95">
        <f>IFERROR(INDEX(손익계산서!$B:$B,MATCH($I14,손익계산서!$G:$G,0)),0)</f>
        <v>2126111102</v>
      </c>
      <c r="C14" s="95">
        <f>IFERROR(INDEX(손익계산서!$C:$C,MATCH($I14,손익계산서!$G:$G,0)),0)</f>
        <v>0</v>
      </c>
      <c r="D14" s="96"/>
      <c r="E14" s="95">
        <f>IFERROR(INDEX(손익계산서!$D:$D,MATCH($I14,손익계산서!$G:$G,0)),0)</f>
        <v>2098835763</v>
      </c>
      <c r="F14" s="95">
        <f>IFERROR(INDEX(손익계산서!$E:$E,MATCH($I14,손익계산서!$G:$G,0)),0)</f>
        <v>0</v>
      </c>
      <c r="G14" s="96"/>
      <c r="H14" t="str">
        <f t="shared" si="0"/>
        <v>기초상품재고액</v>
      </c>
      <c r="I14" t="str">
        <f>H14&amp;"|"&amp;COUNTIF($H$9:H14,H14)</f>
        <v>기초상품재고액|1</v>
      </c>
      <c r="J14" s="93" t="str">
        <f>IF($A14="","",IF(ISNUMBER(MATCH($I14,손익계산서!$G:$G,0)),"✓ 일치","⚠ 확인필요"))</f>
        <v>✓ 일치</v>
      </c>
      <c r="K14" s="94" t="str">
        <f t="shared" si="1"/>
        <v/>
      </c>
    </row>
    <row r="15" spans="1:11" ht="16.5" customHeight="1">
      <c r="A15" s="67" t="s">
        <v>136</v>
      </c>
      <c r="B15" s="95">
        <f>IFERROR(INDEX(손익계산서!$B:$B,MATCH($I15,손익계산서!$G:$G,0)),0)</f>
        <v>18479894308</v>
      </c>
      <c r="C15" s="95">
        <f>IFERROR(INDEX(손익계산서!$C:$C,MATCH($I15,손익계산서!$G:$G,0)),0)</f>
        <v>0</v>
      </c>
      <c r="D15" s="96"/>
      <c r="E15" s="95">
        <f>IFERROR(INDEX(손익계산서!$D:$D,MATCH($I15,손익계산서!$G:$G,0)),0)</f>
        <v>30036303143</v>
      </c>
      <c r="F15" s="95">
        <f>IFERROR(INDEX(손익계산서!$E:$E,MATCH($I15,손익계산서!$G:$G,0)),0)</f>
        <v>0</v>
      </c>
      <c r="G15" s="96"/>
      <c r="H15" t="str">
        <f t="shared" si="0"/>
        <v>당기상품매입액</v>
      </c>
      <c r="I15" t="str">
        <f>H15&amp;"|"&amp;COUNTIF($H$9:H15,H15)</f>
        <v>당기상품매입액|1</v>
      </c>
      <c r="J15" s="93" t="str">
        <f>IF($A15="","",IF(ISNUMBER(MATCH($I15,손익계산서!$G:$G,0)),"✓ 일치","⚠ 확인필요"))</f>
        <v>✓ 일치</v>
      </c>
      <c r="K15" s="94" t="str">
        <f t="shared" si="1"/>
        <v/>
      </c>
    </row>
    <row r="16" spans="1:11" ht="16.5" customHeight="1">
      <c r="A16" s="67" t="s">
        <v>137</v>
      </c>
      <c r="B16" s="95">
        <f>IFERROR(INDEX(손익계산서!$B:$B,MATCH($I16,손익계산서!$G:$G,0)),0)</f>
        <v>91576826</v>
      </c>
      <c r="C16" s="95">
        <f>IFERROR(INDEX(손익계산서!$C:$C,MATCH($I16,손익계산서!$G:$G,0)),0)</f>
        <v>0</v>
      </c>
      <c r="D16" s="96"/>
      <c r="E16" s="95">
        <f>IFERROR(INDEX(손익계산서!$D:$D,MATCH($I16,손익계산서!$G:$G,0)),0)</f>
        <v>163000172</v>
      </c>
      <c r="F16" s="95">
        <f>IFERROR(INDEX(손익계산서!$E:$E,MATCH($I16,손익계산서!$G:$G,0)),0)</f>
        <v>0</v>
      </c>
      <c r="G16" s="96"/>
      <c r="H16" t="str">
        <f t="shared" si="0"/>
        <v>매입할인</v>
      </c>
      <c r="I16" t="str">
        <f>H16&amp;"|"&amp;COUNTIF($H$9:H16,H16)</f>
        <v>매입할인|1</v>
      </c>
      <c r="J16" s="93" t="str">
        <f>IF($A16="","",IF(ISNUMBER(MATCH($I16,손익계산서!$G:$G,0)),"✓ 일치","⚠ 확인필요"))</f>
        <v>✓ 일치</v>
      </c>
      <c r="K16" s="94" t="str">
        <f t="shared" si="1"/>
        <v/>
      </c>
    </row>
    <row r="17" spans="1:16" ht="16.5" customHeight="1">
      <c r="A17" s="67" t="s">
        <v>138</v>
      </c>
      <c r="B17" s="95">
        <f>IFERROR(INDEX(손익계산서!$B:$B,MATCH($I17,손익계산서!$G:$G,0)),0)</f>
        <v>2863615436</v>
      </c>
      <c r="C17" s="95">
        <f>IFERROR(INDEX(손익계산서!$C:$C,MATCH($I17,손익계산서!$G:$G,0)),0)</f>
        <v>0</v>
      </c>
      <c r="D17" s="96"/>
      <c r="E17" s="95">
        <f>IFERROR(INDEX(손익계산서!$D:$D,MATCH($I17,손익계산서!$G:$G,0)),0)</f>
        <v>2126111102</v>
      </c>
      <c r="F17" s="95">
        <f>IFERROR(INDEX(손익계산서!$E:$E,MATCH($I17,손익계산서!$G:$G,0)),0)</f>
        <v>0</v>
      </c>
      <c r="G17" s="96"/>
      <c r="H17" t="str">
        <f t="shared" si="0"/>
        <v>기말상품재고액</v>
      </c>
      <c r="I17" t="str">
        <f>H17&amp;"|"&amp;COUNTIF($H$9:H17,H17)</f>
        <v>기말상품재고액|1</v>
      </c>
      <c r="J17" s="93" t="str">
        <f>IF($A17="","",IF(ISNUMBER(MATCH($I17,손익계산서!$G:$G,0)),"✓ 일치","⚠ 확인필요"))</f>
        <v>✓ 일치</v>
      </c>
      <c r="K17" s="94" t="str">
        <f t="shared" si="1"/>
        <v/>
      </c>
    </row>
    <row r="18" spans="1:16" ht="17.25" customHeight="1">
      <c r="A18" s="74" t="s">
        <v>139</v>
      </c>
      <c r="B18" s="91">
        <f>IFERROR(INDEX(손익계산서!$B:$B,MATCH($I18,손익계산서!$G:$G,0)),0)</f>
        <v>0</v>
      </c>
      <c r="C18" s="91">
        <f>IFERROR(INDEX(손익계산서!$C:$C,MATCH($I18,손익계산서!$G:$G,0)),0)</f>
        <v>3869152188</v>
      </c>
      <c r="D18" s="92">
        <f>C18/C9</f>
        <v>0.17979360689431179</v>
      </c>
      <c r="E18" s="91">
        <f>IFERROR(INDEX(손익계산서!$D:$D,MATCH($I18,손익계산서!$G:$G,0)),0)</f>
        <v>0</v>
      </c>
      <c r="F18" s="91">
        <f>IFERROR(INDEX(손익계산서!$E:$E,MATCH($I18,손익계산서!$G:$G,0)),0)</f>
        <v>5913687702</v>
      </c>
      <c r="G18" s="92">
        <f>F18/F9</f>
        <v>0.16537289647765516</v>
      </c>
      <c r="H18" t="str">
        <f t="shared" si="0"/>
        <v>Ⅲ.매출총이익</v>
      </c>
      <c r="I18" t="str">
        <f>H18&amp;"|"&amp;COUNTIF($H$9:H18,H18)</f>
        <v>Ⅲ.매출총이익|1</v>
      </c>
      <c r="J18" s="93" t="str">
        <f>IF($A18="","",IF(ISNUMBER(MATCH($I18,손익계산서!$G:$G,0)),"✓ 일치","⚠ 확인필요"))</f>
        <v>✓ 일치</v>
      </c>
      <c r="K18" s="94">
        <f t="shared" si="1"/>
        <v>1.4420710416656629E-2</v>
      </c>
    </row>
    <row r="19" spans="1:16" ht="16.5" customHeight="1">
      <c r="A19" s="74" t="s">
        <v>140</v>
      </c>
      <c r="B19" s="91">
        <f>IFERROR(INDEX(손익계산서!$B:$B,MATCH($I19,손익계산서!$G:$G,0)),0)</f>
        <v>0</v>
      </c>
      <c r="C19" s="91">
        <f>IFERROR(INDEX(손익계산서!$C:$C,MATCH($I19,손익계산서!$G:$G,0)),0)</f>
        <v>2161095954</v>
      </c>
      <c r="D19" s="92">
        <f>C19/C9</f>
        <v>0.10042283620154248</v>
      </c>
      <c r="E19" s="91">
        <f>IFERROR(INDEX(손익계산서!$D:$D,MATCH($I19,손익계산서!$G:$G,0)),0)</f>
        <v>0</v>
      </c>
      <c r="F19" s="91">
        <f>IFERROR(INDEX(손익계산서!$E:$E,MATCH($I19,손익계산서!$G:$G,0)),0)</f>
        <v>4291191892</v>
      </c>
      <c r="G19" s="92">
        <f>F19/F9</f>
        <v>0.12000072852705221</v>
      </c>
      <c r="H19" t="str">
        <f t="shared" si="0"/>
        <v>Ⅳ.판매관리비</v>
      </c>
      <c r="I19" t="str">
        <f>H19&amp;"|"&amp;COUNTIF($H$9:H19,H19)</f>
        <v>Ⅳ.판매관리비|1</v>
      </c>
      <c r="J19" s="93" t="str">
        <f>IF($A19="","",IF(ISNUMBER(MATCH($I19,손익계산서!$G:$G,0)),"✓ 일치","⚠ 확인필요"))</f>
        <v>✓ 일치</v>
      </c>
      <c r="K19" s="94">
        <f t="shared" si="1"/>
        <v>-1.957789232550973E-2</v>
      </c>
      <c r="M19" s="97" t="s">
        <v>141</v>
      </c>
    </row>
    <row r="20" spans="1:16" ht="16.5" customHeight="1">
      <c r="A20" s="67" t="s">
        <v>142</v>
      </c>
      <c r="B20" s="95">
        <f>IFERROR(INDEX(손익계산서!$B:$B,MATCH($I20,손익계산서!$G:$G,0)),0)</f>
        <v>1229848831</v>
      </c>
      <c r="C20" s="95">
        <f>IFERROR(INDEX(손익계산서!$C:$C,MATCH($I20,손익계산서!$G:$G,0)),0)</f>
        <v>0</v>
      </c>
      <c r="D20" s="96">
        <f t="shared" ref="D20:D40" si="2">B20/$C$9</f>
        <v>5.7149201302040611E-2</v>
      </c>
      <c r="E20" s="95">
        <f>IFERROR(INDEX(손익계산서!$D:$D,MATCH($I20,손익계산서!$G:$G,0)),0)</f>
        <v>2060318569</v>
      </c>
      <c r="F20" s="95">
        <f>IFERROR(INDEX(손익계산서!$E:$E,MATCH($I20,손익계산서!$G:$G,0)),0)</f>
        <v>0</v>
      </c>
      <c r="G20" s="96">
        <f t="shared" ref="G20:G40" si="3">E20/F$9</f>
        <v>5.7615631158032976E-2</v>
      </c>
      <c r="H20" t="str">
        <f t="shared" si="0"/>
        <v>직원급여</v>
      </c>
      <c r="I20" t="str">
        <f>H20&amp;"|"&amp;COUNTIF($H$9:H20,H20)</f>
        <v>직원급여|1</v>
      </c>
      <c r="J20" s="93" t="str">
        <f>IF($A20="","",IF(ISNUMBER(MATCH($I20,손익계산서!$G:$G,0)),"✓ 일치","⚠ 확인필요"))</f>
        <v>✓ 일치</v>
      </c>
      <c r="K20" s="94">
        <f t="shared" si="1"/>
        <v>-4.6642985599236464E-4</v>
      </c>
      <c r="M20" s="98">
        <f t="shared" ref="M20:M40" si="4">(B20/$C$19)</f>
        <v>0.56908571260968632</v>
      </c>
      <c r="P20" s="98">
        <f t="shared" ref="P20:P40" si="5">(E20/$F$19)</f>
        <v>0.48012734476894842</v>
      </c>
    </row>
    <row r="21" spans="1:16" ht="16.5" customHeight="1">
      <c r="A21" s="67" t="s">
        <v>143</v>
      </c>
      <c r="B21" s="95">
        <f>IFERROR(INDEX(손익계산서!$B:$B,MATCH($I21,손익계산서!$G:$G,0)),0)</f>
        <v>0</v>
      </c>
      <c r="C21" s="95">
        <f>IFERROR(INDEX(손익계산서!$C:$C,MATCH($I21,손익계산서!$G:$G,0)),0)</f>
        <v>0</v>
      </c>
      <c r="D21" s="96">
        <f t="shared" si="2"/>
        <v>0</v>
      </c>
      <c r="E21" s="95">
        <f>IFERROR(INDEX(손익계산서!$D:$D,MATCH($I21,손익계산서!$G:$G,0)),0)</f>
        <v>551800000</v>
      </c>
      <c r="F21" s="95">
        <f>IFERROR(INDEX(손익계산서!$E:$E,MATCH($I21,손익계산서!$G:$G,0)),0)</f>
        <v>0</v>
      </c>
      <c r="G21" s="96">
        <f t="shared" si="3"/>
        <v>1.5430771605593677E-2</v>
      </c>
      <c r="H21" t="str">
        <f t="shared" si="0"/>
        <v>상여금</v>
      </c>
      <c r="I21" t="str">
        <f>H21&amp;"|"&amp;COUNTIF($H$9:H21,H21)</f>
        <v>상여금|1</v>
      </c>
      <c r="J21" s="93" t="str">
        <f>IF($A21="","",IF(ISNUMBER(MATCH($I21,손익계산서!$G:$G,0)),"✓ 일치","⚠ 확인필요"))</f>
        <v>✓ 일치</v>
      </c>
      <c r="K21" s="94">
        <f t="shared" si="1"/>
        <v>-1.5430771605593677E-2</v>
      </c>
      <c r="M21" s="99">
        <f t="shared" si="4"/>
        <v>0</v>
      </c>
      <c r="P21" s="98">
        <f t="shared" si="5"/>
        <v>0.1285889827086763</v>
      </c>
    </row>
    <row r="22" spans="1:16" ht="16.5" customHeight="1">
      <c r="A22" s="67" t="s">
        <v>144</v>
      </c>
      <c r="B22" s="95">
        <f>IFERROR(INDEX(손익계산서!$B:$B,MATCH($I22,손익계산서!$G:$G,0)),0)</f>
        <v>0</v>
      </c>
      <c r="C22" s="95">
        <f>IFERROR(INDEX(손익계산서!$C:$C,MATCH($I22,손익계산서!$G:$G,0)),0)</f>
        <v>0</v>
      </c>
      <c r="D22" s="96">
        <f t="shared" si="2"/>
        <v>0</v>
      </c>
      <c r="E22" s="95">
        <f>IFERROR(INDEX(손익계산서!$D:$D,MATCH($I22,손익계산서!$G:$G,0)),0)</f>
        <v>12096500</v>
      </c>
      <c r="F22" s="95">
        <f>IFERROR(INDEX(손익계산서!$E:$E,MATCH($I22,손익계산서!$G:$G,0)),0)</f>
        <v>0</v>
      </c>
      <c r="G22" s="96">
        <f t="shared" si="3"/>
        <v>3.382717084578904E-4</v>
      </c>
      <c r="H22" t="str">
        <f t="shared" si="0"/>
        <v>연차수당</v>
      </c>
      <c r="I22" t="str">
        <f>H22&amp;"|"&amp;COUNTIF($H$9:H22,H22)</f>
        <v>연차수당|1</v>
      </c>
      <c r="J22" s="93" t="str">
        <f>IF($A22="","",IF(ISNUMBER(MATCH($I22,손익계산서!$G:$G,0)),"✓ 일치","⚠ 확인필요"))</f>
        <v>✓ 일치</v>
      </c>
      <c r="K22" s="94">
        <f t="shared" si="1"/>
        <v>-3.382717084578904E-4</v>
      </c>
      <c r="M22" s="99">
        <f t="shared" si="4"/>
        <v>0</v>
      </c>
      <c r="P22" s="100">
        <f t="shared" si="5"/>
        <v>2.8189137900244709E-3</v>
      </c>
    </row>
    <row r="23" spans="1:16" ht="16.5" customHeight="1">
      <c r="A23" s="67" t="s">
        <v>145</v>
      </c>
      <c r="B23" s="95">
        <f>IFERROR(INDEX(손익계산서!$B:$B,MATCH($I23,손익계산서!$G:$G,0)),0)</f>
        <v>88091340</v>
      </c>
      <c r="C23" s="95">
        <f>IFERROR(INDEX(손익계산서!$C:$C,MATCH($I23,손익계산서!$G:$G,0)),0)</f>
        <v>0</v>
      </c>
      <c r="D23" s="96">
        <f t="shared" si="2"/>
        <v>4.0934703483297471E-3</v>
      </c>
      <c r="E23" s="95">
        <f>IFERROR(INDEX(손익계산서!$D:$D,MATCH($I23,손익계산서!$G:$G,0)),0)</f>
        <v>305951630</v>
      </c>
      <c r="F23" s="95">
        <f>IFERROR(INDEX(손익계산서!$E:$E,MATCH($I23,손익계산서!$G:$G,0)),0)</f>
        <v>0</v>
      </c>
      <c r="G23" s="96">
        <f t="shared" si="3"/>
        <v>8.5557624590233833E-3</v>
      </c>
      <c r="H23" t="str">
        <f t="shared" si="0"/>
        <v>퇴직급여</v>
      </c>
      <c r="I23" t="str">
        <f>H23&amp;"|"&amp;COUNTIF($H$9:H23,H23)</f>
        <v>퇴직급여|1</v>
      </c>
      <c r="J23" s="93" t="str">
        <f>IF($A23="","",IF(ISNUMBER(MATCH($I23,손익계산서!$G:$G,0)),"✓ 일치","⚠ 확인필요"))</f>
        <v>✓ 일치</v>
      </c>
      <c r="K23" s="94">
        <f t="shared" si="1"/>
        <v>-4.4622921106936362E-3</v>
      </c>
      <c r="M23" s="99">
        <f t="shared" si="4"/>
        <v>4.0762345529799647E-2</v>
      </c>
      <c r="P23" s="98">
        <f t="shared" si="5"/>
        <v>7.129758764001691E-2</v>
      </c>
    </row>
    <row r="24" spans="1:16" ht="16.5" customHeight="1">
      <c r="A24" s="67" t="s">
        <v>146</v>
      </c>
      <c r="B24" s="95">
        <f>IFERROR(INDEX(손익계산서!$B:$B,MATCH($I24,손익계산서!$G:$G,0)),0)</f>
        <v>110546776</v>
      </c>
      <c r="C24" s="95">
        <f>IFERROR(INDEX(손익계산서!$C:$C,MATCH($I24,손익계산서!$G:$G,0)),0)</f>
        <v>0</v>
      </c>
      <c r="D24" s="96">
        <f t="shared" si="2"/>
        <v>5.1369402447442678E-3</v>
      </c>
      <c r="E24" s="95">
        <f>IFERROR(INDEX(손익계산서!$D:$D,MATCH($I24,손익계산서!$G:$G,0)),0)</f>
        <v>173366229</v>
      </c>
      <c r="F24" s="95">
        <f>IFERROR(INDEX(손익계산서!$E:$E,MATCH($I24,손익계산서!$G:$G,0)),0)</f>
        <v>0</v>
      </c>
      <c r="G24" s="96">
        <f t="shared" si="3"/>
        <v>4.848087502395888E-3</v>
      </c>
      <c r="H24" t="str">
        <f t="shared" si="0"/>
        <v>복리후생비</v>
      </c>
      <c r="I24" t="str">
        <f>H24&amp;"|"&amp;COUNTIF($H$9:H24,H24)</f>
        <v>복리후생비|1</v>
      </c>
      <c r="J24" s="93" t="str">
        <f>IF($A24="","",IF(ISNUMBER(MATCH($I24,손익계산서!$G:$G,0)),"✓ 일치","⚠ 확인필요"))</f>
        <v>✓ 일치</v>
      </c>
      <c r="K24" s="94">
        <f t="shared" si="1"/>
        <v>2.8885274234837985E-4</v>
      </c>
      <c r="M24" s="99">
        <f t="shared" si="4"/>
        <v>5.1153108586126206E-2</v>
      </c>
      <c r="P24" s="100">
        <f t="shared" si="5"/>
        <v>4.0400483912920296E-2</v>
      </c>
    </row>
    <row r="25" spans="1:16" ht="16.5" customHeight="1">
      <c r="A25" s="67" t="s">
        <v>147</v>
      </c>
      <c r="B25" s="95">
        <f>IFERROR(INDEX(손익계산서!$B:$B,MATCH($I25,손익계산서!$G:$G,0)),0)</f>
        <v>7859988</v>
      </c>
      <c r="C25" s="95">
        <f>IFERROR(INDEX(손익계산서!$C:$C,MATCH($I25,손익계산서!$G:$G,0)),0)</f>
        <v>0</v>
      </c>
      <c r="D25" s="96">
        <f t="shared" si="2"/>
        <v>3.652416663911303E-4</v>
      </c>
      <c r="E25" s="95">
        <f>IFERROR(INDEX(손익계산서!$D:$D,MATCH($I25,손익계산서!$G:$G,0)),0)</f>
        <v>8300248</v>
      </c>
      <c r="F25" s="95">
        <f>IFERROR(INDEX(손익계산서!$E:$E,MATCH($I25,손익계산서!$G:$G,0)),0)</f>
        <v>0</v>
      </c>
      <c r="G25" s="96">
        <f t="shared" si="3"/>
        <v>2.3211169111595815E-4</v>
      </c>
      <c r="H25" t="str">
        <f t="shared" si="0"/>
        <v>여비교통비</v>
      </c>
      <c r="I25" t="str">
        <f>H25&amp;"|"&amp;COUNTIF($H$9:H25,H25)</f>
        <v>여비교통비|1</v>
      </c>
      <c r="J25" s="93" t="str">
        <f>IF($A25="","",IF(ISNUMBER(MATCH($I25,손익계산서!$G:$G,0)),"✓ 일치","⚠ 확인필요"))</f>
        <v>✓ 일치</v>
      </c>
      <c r="K25" s="94">
        <f t="shared" si="1"/>
        <v>1.3312997527517215E-4</v>
      </c>
      <c r="M25" s="99">
        <f t="shared" si="4"/>
        <v>3.6370379507915176E-3</v>
      </c>
      <c r="P25" s="100">
        <f t="shared" si="5"/>
        <v>1.9342523496732968E-3</v>
      </c>
    </row>
    <row r="26" spans="1:16" ht="16.5" customHeight="1">
      <c r="A26" s="67" t="s">
        <v>148</v>
      </c>
      <c r="B26" s="95">
        <f>IFERROR(INDEX(손익계산서!$B:$B,MATCH($I26,손익계산서!$G:$G,0)),0)</f>
        <v>43323349</v>
      </c>
      <c r="C26" s="95">
        <f>IFERROR(INDEX(손익계산서!$C:$C,MATCH($I26,손익계산서!$G:$G,0)),0)</f>
        <v>0</v>
      </c>
      <c r="D26" s="96">
        <f t="shared" si="2"/>
        <v>2.0131700178682853E-3</v>
      </c>
      <c r="E26" s="95">
        <f>IFERROR(INDEX(손익계산서!$D:$D,MATCH($I26,손익계산서!$G:$G,0)),0)</f>
        <v>74924080</v>
      </c>
      <c r="F26" s="95">
        <f>IFERROR(INDEX(손익계산서!$E:$E,MATCH($I26,손익계산서!$G:$G,0)),0)</f>
        <v>0</v>
      </c>
      <c r="G26" s="96">
        <f t="shared" si="3"/>
        <v>2.0952090725611257E-3</v>
      </c>
      <c r="H26" t="str">
        <f t="shared" si="0"/>
        <v>접대비</v>
      </c>
      <c r="I26" t="str">
        <f>H26&amp;"|"&amp;COUNTIF($H$9:H26,H26)</f>
        <v>접대비|1</v>
      </c>
      <c r="J26" s="93" t="str">
        <f>IF($A26="","",IF(ISNUMBER(MATCH($I26,손익계산서!$G:$G,0)),"✓ 일치","⚠ 확인필요"))</f>
        <v>✓ 일치</v>
      </c>
      <c r="K26" s="94">
        <f t="shared" si="1"/>
        <v>-8.2039054692840431E-5</v>
      </c>
      <c r="M26" s="99">
        <f t="shared" si="4"/>
        <v>2.0046934482391799E-2</v>
      </c>
      <c r="P26" s="100">
        <f t="shared" si="5"/>
        <v>1.7459969604174484E-2</v>
      </c>
    </row>
    <row r="27" spans="1:16" ht="16.5" customHeight="1">
      <c r="A27" s="67" t="s">
        <v>149</v>
      </c>
      <c r="B27" s="95">
        <f>IFERROR(INDEX(손익계산서!$B:$B,MATCH($I27,손익계산서!$G:$G,0)),0)</f>
        <v>10884279</v>
      </c>
      <c r="C27" s="95">
        <f>IFERROR(INDEX(손익계산서!$C:$C,MATCH($I27,손익계산서!$G:$G,0)),0)</f>
        <v>0</v>
      </c>
      <c r="D27" s="96">
        <f t="shared" si="2"/>
        <v>5.0577586116238161E-4</v>
      </c>
      <c r="E27" s="95">
        <f>IFERROR(INDEX(손익계산서!$D:$D,MATCH($I27,손익계산서!$G:$G,0)),0)</f>
        <v>18692616</v>
      </c>
      <c r="F27" s="95">
        <f>IFERROR(INDEX(손익계산서!$E:$E,MATCH($I27,손익계산서!$G:$G,0)),0)</f>
        <v>0</v>
      </c>
      <c r="G27" s="96">
        <f t="shared" si="3"/>
        <v>5.2272832223100043E-4</v>
      </c>
      <c r="H27" t="str">
        <f t="shared" si="0"/>
        <v>통신비</v>
      </c>
      <c r="I27" t="str">
        <f>H27&amp;"|"&amp;COUNTIF($H$9:H27,H27)</f>
        <v>통신비|1</v>
      </c>
      <c r="J27" s="93" t="str">
        <f>IF($A27="","",IF(ISNUMBER(MATCH($I27,손익계산서!$G:$G,0)),"✓ 일치","⚠ 확인필요"))</f>
        <v>✓ 일치</v>
      </c>
      <c r="K27" s="94">
        <f t="shared" si="1"/>
        <v>-1.6952461068618814E-5</v>
      </c>
      <c r="M27" s="99">
        <f t="shared" si="4"/>
        <v>5.0364626243708192E-3</v>
      </c>
      <c r="P27" s="100">
        <f t="shared" si="5"/>
        <v>4.3560429061325233E-3</v>
      </c>
    </row>
    <row r="28" spans="1:16" ht="16.5" customHeight="1">
      <c r="A28" s="67" t="s">
        <v>150</v>
      </c>
      <c r="B28" s="95">
        <f>IFERROR(INDEX(손익계산서!$B:$B,MATCH($I28,손익계산서!$G:$G,0)),0)</f>
        <v>658900</v>
      </c>
      <c r="C28" s="95">
        <f>IFERROR(INDEX(손익계산서!$C:$C,MATCH($I28,손익계산서!$G:$G,0)),0)</f>
        <v>0</v>
      </c>
      <c r="D28" s="96">
        <f t="shared" si="2"/>
        <v>3.0618079058786824E-5</v>
      </c>
      <c r="E28" s="95">
        <f>IFERROR(INDEX(손익계산서!$D:$D,MATCH($I28,손익계산서!$G:$G,0)),0)</f>
        <v>1127751</v>
      </c>
      <c r="F28" s="95">
        <f>IFERROR(INDEX(손익계산서!$E:$E,MATCH($I28,손익계산서!$G:$G,0)),0)</f>
        <v>0</v>
      </c>
      <c r="G28" s="96">
        <f t="shared" si="3"/>
        <v>3.1536912122109231E-5</v>
      </c>
      <c r="H28" t="str">
        <f t="shared" si="0"/>
        <v>수도광열비</v>
      </c>
      <c r="I28" t="str">
        <f>H28&amp;"|"&amp;COUNTIF($H$9:H28,H28)</f>
        <v>수도광열비|1</v>
      </c>
      <c r="J28" s="93" t="str">
        <f>IF($A28="","",IF(ISNUMBER(MATCH($I28,손익계산서!$G:$G,0)),"✓ 일치","⚠ 확인필요"))</f>
        <v>✓ 일치</v>
      </c>
      <c r="K28" s="94">
        <f t="shared" si="1"/>
        <v>-9.1883306332240676E-7</v>
      </c>
      <c r="M28" s="99">
        <f t="shared" si="4"/>
        <v>3.048915985338058E-4</v>
      </c>
      <c r="P28" s="100">
        <f t="shared" si="5"/>
        <v>2.6280600550687282E-4</v>
      </c>
    </row>
    <row r="29" spans="1:16" ht="16.5" customHeight="1">
      <c r="A29" s="67" t="s">
        <v>151</v>
      </c>
      <c r="B29" s="95">
        <f>IFERROR(INDEX(손익계산서!$B:$B,MATCH($I29,손익계산서!$G:$G,0)),0)</f>
        <v>9937528</v>
      </c>
      <c r="C29" s="95">
        <f>IFERROR(INDEX(손익계산서!$C:$C,MATCH($I29,손익계산서!$G:$G,0)),0)</f>
        <v>0</v>
      </c>
      <c r="D29" s="96">
        <f t="shared" si="2"/>
        <v>4.617817847213655E-4</v>
      </c>
      <c r="E29" s="95">
        <f>IFERROR(INDEX(손익계산서!$D:$D,MATCH($I29,손익계산서!$G:$G,0)),0)</f>
        <v>15489170</v>
      </c>
      <c r="F29" s="95">
        <f>IFERROR(INDEX(손익계산서!$E:$E,MATCH($I29,손익계산서!$G:$G,0)),0)</f>
        <v>0</v>
      </c>
      <c r="G29" s="96">
        <f t="shared" si="3"/>
        <v>4.3314578584670787E-4</v>
      </c>
      <c r="H29" t="str">
        <f t="shared" si="0"/>
        <v>전력비</v>
      </c>
      <c r="I29" t="str">
        <f>H29&amp;"|"&amp;COUNTIF($H$9:H29,H29)</f>
        <v>전력비|1</v>
      </c>
      <c r="J29" s="93" t="str">
        <f>IF($A29="","",IF(ISNUMBER(MATCH($I29,손익계산서!$G:$G,0)),"✓ 일치","⚠ 확인필요"))</f>
        <v>✓ 일치</v>
      </c>
      <c r="K29" s="94">
        <f t="shared" si="1"/>
        <v>2.8635998874657629E-5</v>
      </c>
      <c r="M29" s="99">
        <f t="shared" si="4"/>
        <v>4.5983742561761329E-3</v>
      </c>
      <c r="P29" s="100">
        <f t="shared" si="5"/>
        <v>3.6095263017429284E-3</v>
      </c>
    </row>
    <row r="30" spans="1:16" ht="16.5" customHeight="1">
      <c r="A30" s="67" t="s">
        <v>152</v>
      </c>
      <c r="B30" s="95">
        <f>IFERROR(INDEX(손익계산서!$B:$B,MATCH($I30,손익계산서!$G:$G,0)),0)</f>
        <v>61818760</v>
      </c>
      <c r="C30" s="95">
        <f>IFERROR(INDEX(손익계산서!$C:$C,MATCH($I30,손익계산서!$G:$G,0)),0)</f>
        <v>0</v>
      </c>
      <c r="D30" s="96">
        <f t="shared" si="2"/>
        <v>2.8726235862743493E-3</v>
      </c>
      <c r="E30" s="95">
        <f>IFERROR(INDEX(손익계산서!$D:$D,MATCH($I30,손익계산서!$G:$G,0)),0)</f>
        <v>41002240</v>
      </c>
      <c r="F30" s="95">
        <f>IFERROR(INDEX(손익계산서!$E:$E,MATCH($I30,손익계산서!$G:$G,0)),0)</f>
        <v>0</v>
      </c>
      <c r="G30" s="96">
        <f t="shared" si="3"/>
        <v>1.1466042057951019E-3</v>
      </c>
      <c r="H30" t="str">
        <f t="shared" si="0"/>
        <v>세금과공과금</v>
      </c>
      <c r="I30" t="str">
        <f>H30&amp;"|"&amp;COUNTIF($H$9:H30,H30)</f>
        <v>세금과공과금|1</v>
      </c>
      <c r="J30" s="93" t="str">
        <f>IF($A30="","",IF(ISNUMBER(MATCH($I30,손익계산서!$G:$G,0)),"✓ 일치","⚠ 확인필요"))</f>
        <v>✓ 일치</v>
      </c>
      <c r="K30" s="94">
        <f t="shared" si="1"/>
        <v>1.7260193804792474E-3</v>
      </c>
      <c r="M30" s="99">
        <f t="shared" si="4"/>
        <v>2.8605282373315666E-2</v>
      </c>
      <c r="P30" s="100">
        <f t="shared" si="5"/>
        <v>9.5549770394653798E-3</v>
      </c>
    </row>
    <row r="31" spans="1:16" ht="16.5" customHeight="1">
      <c r="A31" s="67" t="s">
        <v>153</v>
      </c>
      <c r="B31" s="95">
        <f>IFERROR(INDEX(손익계산서!$B:$B,MATCH($I31,손익계산서!$G:$G,0)),0)</f>
        <v>71625807</v>
      </c>
      <c r="C31" s="95">
        <f>IFERROR(INDEX(손익계산서!$C:$C,MATCH($I31,손익계산서!$G:$G,0)),0)</f>
        <v>0</v>
      </c>
      <c r="D31" s="96">
        <f t="shared" si="2"/>
        <v>3.3283421177347197E-3</v>
      </c>
      <c r="E31" s="95">
        <f>IFERROR(INDEX(손익계산서!$D:$D,MATCH($I31,손익계산서!$G:$G,0)),0)</f>
        <v>151430376</v>
      </c>
      <c r="F31" s="95">
        <f>IFERROR(INDEX(손익계산서!$E:$E,MATCH($I31,손익계산서!$G:$G,0)),0)</f>
        <v>0</v>
      </c>
      <c r="G31" s="96">
        <f t="shared" si="3"/>
        <v>4.234663911209087E-3</v>
      </c>
      <c r="H31" t="str">
        <f t="shared" si="0"/>
        <v>감가상각비</v>
      </c>
      <c r="I31" t="str">
        <f>H31&amp;"|"&amp;COUNTIF($H$9:H31,H31)</f>
        <v>감가상각비|1</v>
      </c>
      <c r="J31" s="93" t="str">
        <f>IF($A31="","",IF(ISNUMBER(MATCH($I31,손익계산서!$G:$G,0)),"✓ 일치","⚠ 확인필요"))</f>
        <v>✓ 일치</v>
      </c>
      <c r="K31" s="94">
        <f t="shared" si="1"/>
        <v>-9.0632179347436724E-4</v>
      </c>
      <c r="M31" s="98">
        <f t="shared" si="4"/>
        <v>3.3143279393692299E-2</v>
      </c>
      <c r="P31" s="100">
        <f t="shared" si="5"/>
        <v>3.5288651687264139E-2</v>
      </c>
    </row>
    <row r="32" spans="1:16" ht="16.5" customHeight="1">
      <c r="A32" s="67" t="s">
        <v>154</v>
      </c>
      <c r="B32" s="95">
        <f>IFERROR(INDEX(손익계산서!$B:$B,MATCH($I32,손익계산서!$G:$G,0)),0)</f>
        <v>94500000</v>
      </c>
      <c r="C32" s="95">
        <f>IFERROR(INDEX(손익계산서!$C:$C,MATCH($I32,손익계산서!$G:$G,0)),0)</f>
        <v>0</v>
      </c>
      <c r="D32" s="96">
        <f t="shared" si="2"/>
        <v>4.3912710138949082E-3</v>
      </c>
      <c r="E32" s="95">
        <f>IFERROR(INDEX(손익계산서!$D:$D,MATCH($I32,손익계산서!$G:$G,0)),0)</f>
        <v>162000000</v>
      </c>
      <c r="F32" s="95">
        <f>IFERROR(INDEX(손익계산서!$E:$E,MATCH($I32,손익계산서!$G:$G,0)),0)</f>
        <v>0</v>
      </c>
      <c r="G32" s="96">
        <f t="shared" si="3"/>
        <v>4.5302374050492488E-3</v>
      </c>
      <c r="H32" t="str">
        <f t="shared" si="0"/>
        <v>지급임차료</v>
      </c>
      <c r="I32" t="str">
        <f>H32&amp;"|"&amp;COUNTIF($H$9:H32,H32)</f>
        <v>지급임차료|1</v>
      </c>
      <c r="J32" s="93" t="str">
        <f>IF($A32="","",IF(ISNUMBER(MATCH($I32,손익계산서!$G:$G,0)),"✓ 일치","⚠ 확인필요"))</f>
        <v>✓ 일치</v>
      </c>
      <c r="K32" s="94">
        <f t="shared" si="1"/>
        <v>-1.389663911543406E-4</v>
      </c>
      <c r="M32" s="98">
        <f t="shared" si="4"/>
        <v>4.3727813114956209E-2</v>
      </c>
      <c r="P32" s="98">
        <f t="shared" si="5"/>
        <v>3.7751749182322512E-2</v>
      </c>
    </row>
    <row r="33" spans="1:16" ht="16.5" customHeight="1">
      <c r="A33" s="67" t="s">
        <v>155</v>
      </c>
      <c r="B33" s="95">
        <f>IFERROR(INDEX(손익계산서!$B:$B,MATCH($I33,손익계산서!$G:$G,0)),0)</f>
        <v>48751589</v>
      </c>
      <c r="C33" s="95">
        <f>IFERROR(INDEX(손익계산서!$C:$C,MATCH($I33,손익계산서!$G:$G,0)),0)</f>
        <v>0</v>
      </c>
      <c r="D33" s="96">
        <f t="shared" si="2"/>
        <v>2.2654120598626227E-3</v>
      </c>
      <c r="E33" s="95">
        <f>IFERROR(INDEX(손익계산서!$D:$D,MATCH($I33,손익계산서!$G:$G,0)),0)</f>
        <v>68016202</v>
      </c>
      <c r="F33" s="95">
        <f>IFERROR(INDEX(손익계산서!$E:$E,MATCH($I33,손익계산서!$G:$G,0)),0)</f>
        <v>0</v>
      </c>
      <c r="G33" s="96">
        <f t="shared" si="3"/>
        <v>1.9020342126529971E-3</v>
      </c>
      <c r="H33" t="str">
        <f t="shared" si="0"/>
        <v>보험료</v>
      </c>
      <c r="I33" t="str">
        <f>H33&amp;"|"&amp;COUNTIF($H$9:H33,H33)</f>
        <v>보험료|1</v>
      </c>
      <c r="J33" s="93" t="str">
        <f>IF($A33="","",IF(ISNUMBER(MATCH($I33,손익계산서!$G:$G,0)),"✓ 일치","⚠ 확인필요"))</f>
        <v>✓ 일치</v>
      </c>
      <c r="K33" s="94">
        <f t="shared" si="1"/>
        <v>3.633778472096256E-4</v>
      </c>
      <c r="M33" s="99">
        <f t="shared" si="4"/>
        <v>2.2558734104223859E-2</v>
      </c>
      <c r="P33" s="100">
        <f t="shared" si="5"/>
        <v>1.5850188878013476E-2</v>
      </c>
    </row>
    <row r="34" spans="1:16" ht="16.5" customHeight="1">
      <c r="A34" s="67" t="s">
        <v>156</v>
      </c>
      <c r="B34" s="95">
        <f>IFERROR(INDEX(손익계산서!$B:$B,MATCH($I34,손익계산서!$G:$G,0)),0)</f>
        <v>155024259</v>
      </c>
      <c r="C34" s="95">
        <f>IFERROR(INDEX(손익계산서!$C:$C,MATCH($I34,손익계산서!$G:$G,0)),0)</f>
        <v>0</v>
      </c>
      <c r="D34" s="96">
        <f t="shared" si="2"/>
        <v>7.2037411110818716E-3</v>
      </c>
      <c r="E34" s="95">
        <f>IFERROR(INDEX(손익계산서!$D:$D,MATCH($I34,손익계산서!$G:$G,0)),0)</f>
        <v>234909756</v>
      </c>
      <c r="F34" s="95">
        <f>IFERROR(INDEX(손익계산서!$E:$E,MATCH($I34,손익계산서!$G:$G,0)),0)</f>
        <v>0</v>
      </c>
      <c r="G34" s="96">
        <f t="shared" si="3"/>
        <v>6.5691170582851373E-3</v>
      </c>
      <c r="H34" t="str">
        <f t="shared" si="0"/>
        <v>차량유지비</v>
      </c>
      <c r="I34" t="str">
        <f>H34&amp;"|"&amp;COUNTIF($H$9:H34,H34)</f>
        <v>차량유지비|1</v>
      </c>
      <c r="J34" s="93" t="str">
        <f>IF($A34="","",IF(ISNUMBER(MATCH($I34,손익계산서!$G:$G,0)),"✓ 일치","⚠ 확인필요"))</f>
        <v>✓ 일치</v>
      </c>
      <c r="K34" s="94">
        <f t="shared" si="1"/>
        <v>6.346240527967343E-4</v>
      </c>
      <c r="M34" s="98">
        <f t="shared" si="4"/>
        <v>7.1734093395095955E-2</v>
      </c>
      <c r="P34" s="98">
        <f t="shared" si="5"/>
        <v>5.4742309808596179E-2</v>
      </c>
    </row>
    <row r="35" spans="1:16" ht="16.5" customHeight="1">
      <c r="A35" s="67" t="s">
        <v>157</v>
      </c>
      <c r="B35" s="95">
        <f>IFERROR(INDEX(손익계산서!$B:$B,MATCH($I35,손익계산서!$G:$G,0)),0)</f>
        <v>11781419</v>
      </c>
      <c r="C35" s="95">
        <f>IFERROR(INDEX(손익계산서!$C:$C,MATCH($I35,손익계산서!$G:$G,0)),0)</f>
        <v>0</v>
      </c>
      <c r="D35" s="96">
        <f t="shared" si="2"/>
        <v>5.4746459002381735E-4</v>
      </c>
      <c r="E35" s="95">
        <f>IFERROR(INDEX(손익계산서!$D:$D,MATCH($I35,손익계산서!$G:$G,0)),0)</f>
        <v>26830863</v>
      </c>
      <c r="F35" s="95">
        <f>IFERROR(INDEX(손익계산서!$E:$E,MATCH($I35,손익계산서!$G:$G,0)),0)</f>
        <v>0</v>
      </c>
      <c r="G35" s="96">
        <f t="shared" si="3"/>
        <v>7.5030974797748095E-4</v>
      </c>
      <c r="H35" t="str">
        <f t="shared" si="0"/>
        <v>운반비</v>
      </c>
      <c r="I35" t="str">
        <f>H35&amp;"|"&amp;COUNTIF($H$9:H35,H35)</f>
        <v>운반비|1</v>
      </c>
      <c r="J35" s="93" t="str">
        <f>IF($A35="","",IF(ISNUMBER(MATCH($I35,손익계산서!$G:$G,0)),"✓ 일치","⚠ 확인필요"))</f>
        <v>✓ 일치</v>
      </c>
      <c r="K35" s="94">
        <f t="shared" si="1"/>
        <v>-2.028451579536636E-4</v>
      </c>
      <c r="M35" s="99">
        <f t="shared" si="4"/>
        <v>5.4515945847724264E-3</v>
      </c>
      <c r="P35" s="100">
        <f t="shared" si="5"/>
        <v>6.2525432735880083E-3</v>
      </c>
    </row>
    <row r="36" spans="1:16" ht="16.5" customHeight="1">
      <c r="A36" s="67" t="s">
        <v>158</v>
      </c>
      <c r="B36" s="95">
        <f>IFERROR(INDEX(손익계산서!$B:$B,MATCH($I36,손익계산서!$G:$G,0)),0)</f>
        <v>0</v>
      </c>
      <c r="C36" s="95">
        <f>IFERROR(INDEX(손익계산서!$C:$C,MATCH($I36,손익계산서!$G:$G,0)),0)</f>
        <v>0</v>
      </c>
      <c r="D36" s="96">
        <f t="shared" si="2"/>
        <v>0</v>
      </c>
      <c r="E36" s="95">
        <f>IFERROR(INDEX(손익계산서!$D:$D,MATCH($I36,손익계산서!$G:$G,0)),0)</f>
        <v>0</v>
      </c>
      <c r="F36" s="95">
        <f>IFERROR(INDEX(손익계산서!$E:$E,MATCH($I36,손익계산서!$G:$G,0)),0)</f>
        <v>0</v>
      </c>
      <c r="G36" s="96">
        <f t="shared" si="3"/>
        <v>0</v>
      </c>
      <c r="H36" t="str">
        <f t="shared" si="0"/>
        <v>포장비</v>
      </c>
      <c r="I36" t="str">
        <f>H36&amp;"|"&amp;COUNTIF($H$9:H36,H36)</f>
        <v>포장비|1</v>
      </c>
      <c r="J36" s="93" t="str">
        <f>IF($A36="","",IF(ISNUMBER(MATCH($I36,손익계산서!$G:$G,0)),"✓ 일치","⚠ 확인필요"))</f>
        <v>⚠ 확인필요</v>
      </c>
      <c r="K36" s="94">
        <f t="shared" si="1"/>
        <v>0</v>
      </c>
      <c r="M36" s="99">
        <f t="shared" si="4"/>
        <v>0</v>
      </c>
      <c r="P36" s="100">
        <f t="shared" si="5"/>
        <v>0</v>
      </c>
    </row>
    <row r="37" spans="1:16" ht="16.5" customHeight="1">
      <c r="A37" s="67" t="s">
        <v>159</v>
      </c>
      <c r="B37" s="95">
        <f>IFERROR(INDEX(손익계산서!$B:$B,MATCH($I37,손익계산서!$G:$G,0)),0)</f>
        <v>18876205</v>
      </c>
      <c r="C37" s="95">
        <f>IFERROR(INDEX(손익계산서!$C:$C,MATCH($I37,손익계산서!$G:$G,0)),0)</f>
        <v>0</v>
      </c>
      <c r="D37" s="96">
        <f t="shared" si="2"/>
        <v>8.7714848538453054E-4</v>
      </c>
      <c r="E37" s="95">
        <f>IFERROR(INDEX(손익계산서!$D:$D,MATCH($I37,손익계산서!$G:$G,0)),0)</f>
        <v>16554758</v>
      </c>
      <c r="F37" s="95">
        <f>IFERROR(INDEX(손익계산서!$E:$E,MATCH($I37,손익계산서!$G:$G,0)),0)</f>
        <v>0</v>
      </c>
      <c r="G37" s="96">
        <f t="shared" si="3"/>
        <v>4.6294434520455739E-4</v>
      </c>
      <c r="H37" t="str">
        <f t="shared" si="0"/>
        <v>소모품비</v>
      </c>
      <c r="I37" t="str">
        <f>H37&amp;"|"&amp;COUNTIF($H$9:H37,H37)</f>
        <v>소모품비|1</v>
      </c>
      <c r="J37" s="93" t="str">
        <f>IF($A37="","",IF(ISNUMBER(MATCH($I37,손익계산서!$G:$G,0)),"✓ 일치","⚠ 확인필요"))</f>
        <v>✓ 일치</v>
      </c>
      <c r="K37" s="94">
        <f t="shared" si="1"/>
        <v>4.1420414017997315E-4</v>
      </c>
      <c r="M37" s="99">
        <f t="shared" si="4"/>
        <v>8.7345520059217141E-3</v>
      </c>
      <c r="P37" s="100">
        <f t="shared" si="5"/>
        <v>3.8578461221607844E-3</v>
      </c>
    </row>
    <row r="38" spans="1:16" ht="16.5" customHeight="1">
      <c r="A38" s="67" t="s">
        <v>160</v>
      </c>
      <c r="B38" s="95">
        <f>IFERROR(INDEX(손익계산서!$B:$B,MATCH($I38,손익계산서!$G:$G,0)),0)</f>
        <v>196598820</v>
      </c>
      <c r="C38" s="95">
        <f>IFERROR(INDEX(손익계산서!$C:$C,MATCH($I38,손익계산서!$G:$G,0)),0)</f>
        <v>0</v>
      </c>
      <c r="D38" s="96">
        <f t="shared" si="2"/>
        <v>9.1356476151528317E-3</v>
      </c>
      <c r="E38" s="95">
        <f>IFERROR(INDEX(손익계산서!$D:$D,MATCH($I38,손익계산서!$G:$G,0)),0)</f>
        <v>292448219</v>
      </c>
      <c r="F38" s="95">
        <f>IFERROR(INDEX(손익계산서!$E:$E,MATCH($I38,손익계산서!$G:$G,0)),0)</f>
        <v>0</v>
      </c>
      <c r="G38" s="96">
        <f t="shared" si="3"/>
        <v>8.178147288603917E-3</v>
      </c>
      <c r="H38" t="str">
        <f t="shared" si="0"/>
        <v>지급수수료</v>
      </c>
      <c r="I38" t="str">
        <f>H38&amp;"|"&amp;COUNTIF($H$9:H38,H38)</f>
        <v>지급수수료|1</v>
      </c>
      <c r="J38" s="93" t="str">
        <f>IF($A38="","",IF(ISNUMBER(MATCH($I38,손익계산서!$G:$G,0)),"✓ 일치","⚠ 확인필요"))</f>
        <v>✓ 일치</v>
      </c>
      <c r="K38" s="94">
        <f t="shared" si="1"/>
        <v>9.5750032654891466E-4</v>
      </c>
      <c r="M38" s="98">
        <f t="shared" si="4"/>
        <v>9.0971814387099628E-2</v>
      </c>
      <c r="P38" s="98">
        <f t="shared" si="5"/>
        <v>6.8150813657437817E-2</v>
      </c>
    </row>
    <row r="39" spans="1:16" ht="16.5" customHeight="1">
      <c r="A39" s="67" t="s">
        <v>161</v>
      </c>
      <c r="B39" s="95">
        <f>IFERROR(INDEX(손익계산서!$B:$B,MATCH($I39,손익계산서!$G:$G,0)),0)</f>
        <v>0</v>
      </c>
      <c r="C39" s="95">
        <f>IFERROR(INDEX(손익계산서!$C:$C,MATCH($I39,손익계산서!$G:$G,0)),0)</f>
        <v>0</v>
      </c>
      <c r="D39" s="96">
        <f t="shared" si="2"/>
        <v>0</v>
      </c>
      <c r="E39" s="95">
        <f>IFERROR(INDEX(손익계산서!$D:$D,MATCH($I39,손익계산서!$G:$G,0)),0)</f>
        <v>72371897</v>
      </c>
      <c r="F39" s="95">
        <f>IFERROR(INDEX(손익계산서!$E:$E,MATCH($I39,손익계산서!$G:$G,0)),0)</f>
        <v>0</v>
      </c>
      <c r="G39" s="96">
        <f t="shared" si="3"/>
        <v>2.0238387337269846E-3</v>
      </c>
      <c r="H39" t="str">
        <f t="shared" si="0"/>
        <v>대손상각비</v>
      </c>
      <c r="I39" t="str">
        <f>H39&amp;"|"&amp;COUNTIF($H$9:H39,H39)</f>
        <v>대손상각비|1</v>
      </c>
      <c r="J39" s="93" t="str">
        <f>IF($A39="","",IF(ISNUMBER(MATCH($I39,손익계산서!$G:$G,0)),"✓ 일치","⚠ 확인필요"))</f>
        <v>✓ 일치</v>
      </c>
      <c r="K39" s="94">
        <f t="shared" si="1"/>
        <v>-2.0238387337269846E-3</v>
      </c>
      <c r="M39" s="99">
        <f t="shared" si="4"/>
        <v>0</v>
      </c>
      <c r="P39" s="100">
        <f t="shared" si="5"/>
        <v>1.6865220391314068E-2</v>
      </c>
    </row>
    <row r="40" spans="1:16" ht="16.5" customHeight="1">
      <c r="A40" s="67" t="s">
        <v>162</v>
      </c>
      <c r="B40" s="95">
        <f>IFERROR(INDEX(손익계산서!$B:$B,MATCH($I40,손익계산서!$G:$G,0)),0)</f>
        <v>968104</v>
      </c>
      <c r="C40" s="95">
        <f>IFERROR(INDEX(손익계산서!$C:$C,MATCH($I40,손익계산서!$G:$G,0)),0)</f>
        <v>0</v>
      </c>
      <c r="D40" s="96">
        <f t="shared" si="2"/>
        <v>4.4986317816250963E-5</v>
      </c>
      <c r="E40" s="95">
        <f>IFERROR(INDEX(손익계산서!$D:$D,MATCH($I40,손익계산서!$G:$G,0)),0)</f>
        <v>3560788</v>
      </c>
      <c r="F40" s="95">
        <f>IFERROR(INDEX(손익계산서!$E:$E,MATCH($I40,손익계산서!$G:$G,0)),0)</f>
        <v>0</v>
      </c>
      <c r="G40" s="96">
        <f t="shared" si="3"/>
        <v>9.9575401166978429E-5</v>
      </c>
      <c r="H40" t="str">
        <f t="shared" si="0"/>
        <v>수출제비용</v>
      </c>
      <c r="I40" t="str">
        <f>H40&amp;"|"&amp;COUNTIF($H$9:H40,H40)</f>
        <v>수출제비용|1</v>
      </c>
      <c r="J40" s="93" t="str">
        <f>IF($A40="","",IF(ISNUMBER(MATCH($I40,손익계산서!$G:$G,0)),"✓ 일치","⚠ 확인필요"))</f>
        <v>✓ 일치</v>
      </c>
      <c r="K40" s="94">
        <f t="shared" si="1"/>
        <v>-5.4589083350727465E-5</v>
      </c>
      <c r="M40" s="99">
        <f t="shared" si="4"/>
        <v>4.4796900304594251E-4</v>
      </c>
      <c r="P40" s="100">
        <f t="shared" si="5"/>
        <v>8.2978997202113464E-4</v>
      </c>
    </row>
    <row r="41" spans="1:16" ht="17.25" customHeight="1">
      <c r="A41" s="74" t="s">
        <v>163</v>
      </c>
      <c r="B41" s="91">
        <f>IFERROR(INDEX(손익계산서!$B:$B,MATCH($I41,손익계산서!$G:$G,0)),0)</f>
        <v>0</v>
      </c>
      <c r="C41" s="91">
        <f>IFERROR(INDEX(손익계산서!$C:$C,MATCH($I41,손익계산서!$G:$G,0)),0)</f>
        <v>1708056234</v>
      </c>
      <c r="D41" s="92">
        <f>C41/C9</f>
        <v>7.9370770692769294E-2</v>
      </c>
      <c r="E41" s="91">
        <f>IFERROR(INDEX(손익계산서!$D:$D,MATCH($I41,손익계산서!$G:$G,0)),0)</f>
        <v>0</v>
      </c>
      <c r="F41" s="91">
        <f>IFERROR(INDEX(손익계산서!$E:$E,MATCH($I41,손익계산서!$G:$G,0)),0)</f>
        <v>1622495810</v>
      </c>
      <c r="G41" s="92">
        <f>F41/F9</f>
        <v>4.5372167950602962E-2</v>
      </c>
      <c r="H41" t="str">
        <f t="shared" ref="H41:H61" si="6">SUBSTITUTE(A41," ","")</f>
        <v>Ⅴ.영업이익</v>
      </c>
      <c r="I41" t="str">
        <f>H41&amp;"|"&amp;COUNTIF($H$9:H41,H41)</f>
        <v>Ⅴ.영업이익|1</v>
      </c>
      <c r="J41" s="93" t="str">
        <f>IF($A41="","",IF(ISNUMBER(MATCH($I41,손익계산서!$G:$G,0)),"✓ 일치","⚠ 확인필요"))</f>
        <v>✓ 일치</v>
      </c>
      <c r="K41" s="94">
        <f t="shared" ref="K41:K61" si="7">IFERROR(IF(OR(D41="",G41=""),"",D41-G41),"")</f>
        <v>3.3998602742166331E-2</v>
      </c>
    </row>
    <row r="42" spans="1:16" ht="16.5" customHeight="1">
      <c r="A42" s="74" t="s">
        <v>164</v>
      </c>
      <c r="B42" s="91">
        <f>IFERROR(INDEX(손익계산서!$B:$B,MATCH($I42,손익계산서!$G:$G,0)),0)</f>
        <v>0</v>
      </c>
      <c r="C42" s="91">
        <f>IFERROR(INDEX(손익계산서!$C:$C,MATCH($I42,손익계산서!$G:$G,0)),0)</f>
        <v>145089917</v>
      </c>
      <c r="D42" s="92">
        <f>C42/$C$9</f>
        <v>6.7421073749261177E-3</v>
      </c>
      <c r="E42" s="91">
        <f>IFERROR(INDEX(손익계산서!$D:$D,MATCH($I42,손익계산서!$G:$G,0)),0)</f>
        <v>0</v>
      </c>
      <c r="F42" s="91">
        <f>IFERROR(INDEX(손익계산서!$E:$E,MATCH($I42,손익계산서!$G:$G,0)),0)</f>
        <v>213061525</v>
      </c>
      <c r="G42" s="92">
        <f>F42/$F$9</f>
        <v>5.9581437662458991E-3</v>
      </c>
      <c r="H42" t="str">
        <f t="shared" si="6"/>
        <v>Ⅵ.영업외수익</v>
      </c>
      <c r="I42" t="str">
        <f>H42&amp;"|"&amp;COUNTIF($H$9:H42,H42)</f>
        <v>Ⅵ.영업외수익|1</v>
      </c>
      <c r="J42" s="93" t="str">
        <f>IF($A42="","",IF(ISNUMBER(MATCH($I42,손익계산서!$G:$G,0)),"✓ 일치","⚠ 확인필요"))</f>
        <v>✓ 일치</v>
      </c>
      <c r="K42" s="94">
        <f t="shared" si="7"/>
        <v>7.8396360868021858E-4</v>
      </c>
    </row>
    <row r="43" spans="1:16" ht="16.5" customHeight="1">
      <c r="A43" s="67" t="s">
        <v>165</v>
      </c>
      <c r="B43" s="95">
        <f>IFERROR(INDEX(손익계산서!$B:$B,MATCH($I43,손익계산서!$G:$G,0)),0)</f>
        <v>113934601</v>
      </c>
      <c r="C43" s="95">
        <f>IFERROR(INDEX(손익계산서!$C:$C,MATCH($I43,손익계산서!$G:$G,0)),0)</f>
        <v>0</v>
      </c>
      <c r="D43" s="96">
        <f t="shared" ref="D43:D49" si="8">B43/$C$9</f>
        <v>5.2943673105924002E-3</v>
      </c>
      <c r="E43" s="95">
        <f>IFERROR(INDEX(손익계산서!$D:$D,MATCH($I43,손익계산서!$G:$G,0)),0)</f>
        <v>191956603</v>
      </c>
      <c r="F43" s="95">
        <f>IFERROR(INDEX(손익계산서!$E:$E,MATCH($I43,손익계산서!$G:$G,0)),0)</f>
        <v>0</v>
      </c>
      <c r="G43" s="96">
        <f t="shared" ref="G43:G49" si="9">E43/F$9</f>
        <v>5.3679566855357342E-3</v>
      </c>
      <c r="H43" t="str">
        <f t="shared" si="6"/>
        <v>이자수익</v>
      </c>
      <c r="I43" t="str">
        <f>H43&amp;"|"&amp;COUNTIF($H$9:H43,H43)</f>
        <v>이자수익|1</v>
      </c>
      <c r="J43" s="93" t="str">
        <f>IF($A43="","",IF(ISNUMBER(MATCH($I43,손익계산서!$G:$G,0)),"✓ 일치","⚠ 확인필요"))</f>
        <v>✓ 일치</v>
      </c>
      <c r="K43" s="94">
        <f t="shared" si="7"/>
        <v>-7.3589374943333966E-5</v>
      </c>
    </row>
    <row r="44" spans="1:16" ht="16.5" customHeight="1">
      <c r="A44" s="67" t="s">
        <v>166</v>
      </c>
      <c r="B44" s="95">
        <f>IFERROR(INDEX(손익계산서!$B:$B,MATCH($I44,손익계산서!$G:$G,0)),0)</f>
        <v>9493467</v>
      </c>
      <c r="C44" s="95">
        <f>IFERROR(INDEX(손익계산서!$C:$C,MATCH($I44,손익계산서!$G:$G,0)),0)</f>
        <v>0</v>
      </c>
      <c r="D44" s="96">
        <f t="shared" si="8"/>
        <v>4.4114694665045345E-4</v>
      </c>
      <c r="E44" s="95">
        <f>IFERROR(INDEX(손익계산서!$D:$D,MATCH($I44,손익계산서!$G:$G,0)),0)</f>
        <v>94348</v>
      </c>
      <c r="F44" s="95">
        <f>IFERROR(INDEX(손익계산서!$E:$E,MATCH($I44,손익계산서!$G:$G,0)),0)</f>
        <v>0</v>
      </c>
      <c r="G44" s="96">
        <f t="shared" si="9"/>
        <v>2.6383878931579416E-6</v>
      </c>
      <c r="H44" t="str">
        <f t="shared" si="6"/>
        <v>외환차익</v>
      </c>
      <c r="I44" t="str">
        <f>H44&amp;"|"&amp;COUNTIF($H$9:H44,H44)</f>
        <v>외환차익|1</v>
      </c>
      <c r="J44" s="93" t="str">
        <f>IF($A44="","",IF(ISNUMBER(MATCH($I44,손익계산서!$G:$G,0)),"✓ 일치","⚠ 확인필요"))</f>
        <v>✓ 일치</v>
      </c>
      <c r="K44" s="94">
        <f t="shared" si="7"/>
        <v>4.3850855875729553E-4</v>
      </c>
    </row>
    <row r="45" spans="1:16" ht="16.5" customHeight="1">
      <c r="A45" s="67" t="s">
        <v>167</v>
      </c>
      <c r="B45" s="95">
        <f>IFERROR(INDEX(손익계산서!$B:$B,MATCH($I45,손익계산서!$G:$G,0)),0)</f>
        <v>0</v>
      </c>
      <c r="C45" s="95">
        <f>IFERROR(INDEX(손익계산서!$C:$C,MATCH($I45,손익계산서!$G:$G,0)),0)</f>
        <v>0</v>
      </c>
      <c r="D45" s="96">
        <f t="shared" si="8"/>
        <v>0</v>
      </c>
      <c r="E45" s="95">
        <f>IFERROR(INDEX(손익계산서!$D:$D,MATCH($I45,손익계산서!$G:$G,0)),0)</f>
        <v>0</v>
      </c>
      <c r="F45" s="95">
        <f>IFERROR(INDEX(손익계산서!$E:$E,MATCH($I45,손익계산서!$G:$G,0)),0)</f>
        <v>0</v>
      </c>
      <c r="G45" s="96">
        <f t="shared" si="9"/>
        <v>0</v>
      </c>
      <c r="H45" t="str">
        <f t="shared" si="6"/>
        <v>외화환산이익</v>
      </c>
      <c r="I45" t="str">
        <f>H45&amp;"|"&amp;COUNTIF($H$9:H45,H45)</f>
        <v>외화환산이익|1</v>
      </c>
      <c r="J45" s="93" t="str">
        <f>IF($A45="","",IF(ISNUMBER(MATCH($I45,손익계산서!$G:$G,0)),"✓ 일치","⚠ 확인필요"))</f>
        <v>⚠ 확인필요</v>
      </c>
      <c r="K45" s="94">
        <f t="shared" si="7"/>
        <v>0</v>
      </c>
    </row>
    <row r="46" spans="1:16" ht="16.5" customHeight="1">
      <c r="A46" s="67" t="s">
        <v>168</v>
      </c>
      <c r="B46" s="95">
        <f>IFERROR(INDEX(손익계산서!$B:$B,MATCH($I46,손익계산서!$G:$G,0)),0)</f>
        <v>7089909</v>
      </c>
      <c r="C46" s="95">
        <f>IFERROR(INDEX(손익계산서!$C:$C,MATCH($I46,손익계산서!$G:$G,0)),0)</f>
        <v>0</v>
      </c>
      <c r="D46" s="96">
        <f t="shared" si="8"/>
        <v>3.2945726860161519E-4</v>
      </c>
      <c r="E46" s="95">
        <f>IFERROR(INDEX(손익계산서!$D:$D,MATCH($I46,손익계산서!$G:$G,0)),0)</f>
        <v>8659536</v>
      </c>
      <c r="F46" s="95">
        <f>IFERROR(INDEX(손익계산서!$E:$E,MATCH($I46,손익계산서!$G:$G,0)),0)</f>
        <v>0</v>
      </c>
      <c r="G46" s="96">
        <f t="shared" si="9"/>
        <v>2.4215897467636145E-4</v>
      </c>
      <c r="H46" t="str">
        <f t="shared" si="6"/>
        <v>유형자산처분이익</v>
      </c>
      <c r="I46" t="str">
        <f>H46&amp;"|"&amp;COUNTIF($H$9:H46,H46)</f>
        <v>유형자산처분이익|1</v>
      </c>
      <c r="J46" s="93" t="str">
        <f>IF($A46="","",IF(ISNUMBER(MATCH($I46,손익계산서!$G:$G,0)),"✓ 일치","⚠ 확인필요"))</f>
        <v>✓ 일치</v>
      </c>
      <c r="K46" s="94">
        <f t="shared" si="7"/>
        <v>8.7298293925253741E-5</v>
      </c>
    </row>
    <row r="47" spans="1:16" ht="16.5" customHeight="1">
      <c r="A47" s="67" t="s">
        <v>169</v>
      </c>
      <c r="B47" s="95">
        <f>IFERROR(INDEX(손익계산서!$B:$B,MATCH($I47,손익계산서!$G:$G,0)),0)</f>
        <v>0</v>
      </c>
      <c r="C47" s="95">
        <f>IFERROR(INDEX(손익계산서!$C:$C,MATCH($I47,손익계산서!$G:$G,0)),0)</f>
        <v>0</v>
      </c>
      <c r="D47" s="96">
        <f t="shared" si="8"/>
        <v>0</v>
      </c>
      <c r="E47" s="95">
        <f>IFERROR(INDEX(손익계산서!$D:$D,MATCH($I47,손익계산서!$G:$G,0)),0)</f>
        <v>0</v>
      </c>
      <c r="F47" s="95">
        <f>IFERROR(INDEX(손익계산서!$E:$E,MATCH($I47,손익계산서!$G:$G,0)),0)</f>
        <v>0</v>
      </c>
      <c r="G47" s="96">
        <f t="shared" si="9"/>
        <v>0</v>
      </c>
      <c r="H47" t="str">
        <f t="shared" si="6"/>
        <v>투자자산처분이익</v>
      </c>
      <c r="I47" t="str">
        <f>H47&amp;"|"&amp;COUNTIF($H$9:H47,H47)</f>
        <v>투자자산처분이익|1</v>
      </c>
      <c r="J47" s="93" t="str">
        <f>IF($A47="","",IF(ISNUMBER(MATCH($I47,손익계산서!$G:$G,0)),"✓ 일치","⚠ 확인필요"))</f>
        <v>⚠ 확인필요</v>
      </c>
      <c r="K47" s="94">
        <f t="shared" si="7"/>
        <v>0</v>
      </c>
    </row>
    <row r="48" spans="1:16" ht="16.5" customHeight="1">
      <c r="A48" s="67" t="s">
        <v>170</v>
      </c>
      <c r="B48" s="95">
        <f>IFERROR(INDEX(손익계산서!$B:$B,MATCH($I48,손익계산서!$G:$G,0)),0)</f>
        <v>0</v>
      </c>
      <c r="C48" s="95">
        <f>IFERROR(INDEX(손익계산서!$C:$C,MATCH($I48,손익계산서!$G:$G,0)),0)</f>
        <v>0</v>
      </c>
      <c r="D48" s="96">
        <f t="shared" si="8"/>
        <v>0</v>
      </c>
      <c r="E48" s="95">
        <f>IFERROR(INDEX(손익계산서!$D:$D,MATCH($I48,손익계산서!$G:$G,0)),0)</f>
        <v>0</v>
      </c>
      <c r="F48" s="95">
        <f>IFERROR(INDEX(손익계산서!$E:$E,MATCH($I48,손익계산서!$G:$G,0)),0)</f>
        <v>0</v>
      </c>
      <c r="G48" s="96">
        <f t="shared" si="9"/>
        <v>0</v>
      </c>
      <c r="H48" t="str">
        <f t="shared" si="6"/>
        <v>금융상품처분이익</v>
      </c>
      <c r="I48" t="str">
        <f>H48&amp;"|"&amp;COUNTIF($H$9:H48,H48)</f>
        <v>금융상품처분이익|1</v>
      </c>
      <c r="J48" s="93" t="str">
        <f>IF($A48="","",IF(ISNUMBER(MATCH($I48,손익계산서!$G:$G,0)),"✓ 일치","⚠ 확인필요"))</f>
        <v>⚠ 확인필요</v>
      </c>
      <c r="K48" s="94">
        <f t="shared" si="7"/>
        <v>0</v>
      </c>
    </row>
    <row r="49" spans="1:11" ht="16.5" customHeight="1">
      <c r="A49" s="67" t="s">
        <v>171</v>
      </c>
      <c r="B49" s="95">
        <f>IFERROR(INDEX(손익계산서!$B:$B,MATCH($I49,손익계산서!$G:$G,0)),0)</f>
        <v>14571940</v>
      </c>
      <c r="C49" s="95">
        <f>IFERROR(INDEX(손익계산서!$C:$C,MATCH($I49,손익계산서!$G:$G,0)),0)</f>
        <v>0</v>
      </c>
      <c r="D49" s="96">
        <f t="shared" si="8"/>
        <v>6.7713584908164835E-4</v>
      </c>
      <c r="E49" s="95">
        <f>IFERROR(INDEX(손익계산서!$D:$D,MATCH($I49,손익계산서!$G:$G,0)),0)</f>
        <v>12351038</v>
      </c>
      <c r="F49" s="95">
        <f>IFERROR(INDEX(손익계산서!$E:$E,MATCH($I49,손익계산서!$G:$G,0)),0)</f>
        <v>0</v>
      </c>
      <c r="G49" s="96">
        <f t="shared" si="9"/>
        <v>3.4538971814064611E-4</v>
      </c>
      <c r="H49" t="str">
        <f t="shared" si="6"/>
        <v>잡이익</v>
      </c>
      <c r="I49" t="str">
        <f>H49&amp;"|"&amp;COUNTIF($H$9:H49,H49)</f>
        <v>잡이익|1</v>
      </c>
      <c r="J49" s="93" t="str">
        <f>IF($A49="","",IF(ISNUMBER(MATCH($I49,손익계산서!$G:$G,0)),"✓ 일치","⚠ 확인필요"))</f>
        <v>✓ 일치</v>
      </c>
      <c r="K49" s="94">
        <f t="shared" si="7"/>
        <v>3.3174613094100224E-4</v>
      </c>
    </row>
    <row r="50" spans="1:11" ht="16.5" customHeight="1">
      <c r="A50" s="74" t="s">
        <v>172</v>
      </c>
      <c r="B50" s="91">
        <f>IFERROR(INDEX(손익계산서!$B:$B,MATCH($I50,손익계산서!$G:$G,0)),0)</f>
        <v>0</v>
      </c>
      <c r="C50" s="91">
        <f>IFERROR(INDEX(손익계산서!$C:$C,MATCH($I50,손익계산서!$G:$G,0)),0)</f>
        <v>1315405</v>
      </c>
      <c r="D50" s="92">
        <f>C50/$C$9</f>
        <v>6.1124866116745306E-5</v>
      </c>
      <c r="E50" s="91">
        <f>IFERROR(INDEX(손익계산서!$D:$D,MATCH($I50,손익계산서!$G:$G,0)),0)</f>
        <v>0</v>
      </c>
      <c r="F50" s="91">
        <f>IFERROR(INDEX(손익계산서!$E:$E,MATCH($I50,손익계산서!$G:$G,0)),0)</f>
        <v>14528746</v>
      </c>
      <c r="G50" s="92">
        <f>F50/F$9</f>
        <v>4.0628807763987444E-4</v>
      </c>
      <c r="H50" t="str">
        <f t="shared" si="6"/>
        <v>Ⅶ.영업외비용</v>
      </c>
      <c r="I50" t="str">
        <f>H50&amp;"|"&amp;COUNTIF($H$9:H50,H50)</f>
        <v>Ⅶ.영업외비용|1</v>
      </c>
      <c r="J50" s="93" t="str">
        <f>IF($A50="","",IF(ISNUMBER(MATCH($I50,손익계산서!$G:$G,0)),"✓ 일치","⚠ 확인필요"))</f>
        <v>✓ 일치</v>
      </c>
      <c r="K50" s="94">
        <f t="shared" si="7"/>
        <v>-3.4516321152312915E-4</v>
      </c>
    </row>
    <row r="51" spans="1:11" ht="16.5" customHeight="1">
      <c r="A51" s="67" t="s">
        <v>173</v>
      </c>
      <c r="B51" s="95">
        <f>IFERROR(INDEX(손익계산서!$B:$B,MATCH($I51,손익계산서!$G:$G,0)),0)</f>
        <v>0</v>
      </c>
      <c r="C51" s="95">
        <f>IFERROR(INDEX(손익계산서!$C:$C,MATCH($I51,손익계산서!$G:$G,0)),0)</f>
        <v>0</v>
      </c>
      <c r="D51" s="96">
        <f t="shared" ref="D51:D57" si="10">B51/$C$9</f>
        <v>0</v>
      </c>
      <c r="E51" s="95">
        <f>IFERROR(INDEX(손익계산서!$D:$D,MATCH($I51,손익계산서!$G:$G,0)),0)</f>
        <v>0</v>
      </c>
      <c r="F51" s="95">
        <f>IFERROR(INDEX(손익계산서!$E:$E,MATCH($I51,손익계산서!$G:$G,0)),0)</f>
        <v>0</v>
      </c>
      <c r="G51" s="96">
        <f t="shared" ref="G51:G57" si="11">E51/F$9</f>
        <v>0</v>
      </c>
      <c r="H51" t="str">
        <f t="shared" si="6"/>
        <v>이자비용</v>
      </c>
      <c r="I51" t="str">
        <f>H51&amp;"|"&amp;COUNTIF($H$9:H51,H51)</f>
        <v>이자비용|1</v>
      </c>
      <c r="J51" s="93" t="str">
        <f>IF($A51="","",IF(ISNUMBER(MATCH($I51,손익계산서!$G:$G,0)),"✓ 일치","⚠ 확인필요"))</f>
        <v>⚠ 확인필요</v>
      </c>
      <c r="K51" s="94">
        <f t="shared" si="7"/>
        <v>0</v>
      </c>
    </row>
    <row r="52" spans="1:11" ht="16.5" customHeight="1">
      <c r="A52" s="67" t="s">
        <v>174</v>
      </c>
      <c r="B52" s="95">
        <f>IFERROR(INDEX(손익계산서!$B:$B,MATCH($I52,손익계산서!$G:$G,0)),0)</f>
        <v>1131469</v>
      </c>
      <c r="C52" s="95">
        <f>IFERROR(INDEX(손익계산서!$C:$C,MATCH($I52,손익계산서!$G:$G,0)),0)</f>
        <v>0</v>
      </c>
      <c r="D52" s="96">
        <f t="shared" si="10"/>
        <v>5.2577640453128656E-5</v>
      </c>
      <c r="E52" s="95">
        <f>IFERROR(INDEX(손익계산서!$D:$D,MATCH($I52,손익계산서!$G:$G,0)),0)</f>
        <v>1282550</v>
      </c>
      <c r="F52" s="95">
        <f>IFERROR(INDEX(손익계산서!$E:$E,MATCH($I52,손익계산서!$G:$G,0)),0)</f>
        <v>0</v>
      </c>
      <c r="G52" s="96">
        <f t="shared" si="11"/>
        <v>3.5865777678061199E-5</v>
      </c>
      <c r="H52" t="str">
        <f t="shared" si="6"/>
        <v>외환차손</v>
      </c>
      <c r="I52" t="str">
        <f>H52&amp;"|"&amp;COUNTIF($H$9:H52,H52)</f>
        <v>외환차손|1</v>
      </c>
      <c r="J52" s="93" t="str">
        <f>IF($A52="","",IF(ISNUMBER(MATCH($I52,손익계산서!$G:$G,0)),"✓ 일치","⚠ 확인필요"))</f>
        <v>✓ 일치</v>
      </c>
      <c r="K52" s="94">
        <f t="shared" si="7"/>
        <v>1.6711862775067457E-5</v>
      </c>
    </row>
    <row r="53" spans="1:11" ht="16.5" customHeight="1">
      <c r="A53" s="67" t="s">
        <v>175</v>
      </c>
      <c r="B53" s="95">
        <f>IFERROR(INDEX(손익계산서!$B:$B,MATCH($I53,손익계산서!$G:$G,0)),0)</f>
        <v>0</v>
      </c>
      <c r="C53" s="95">
        <f>IFERROR(INDEX(손익계산서!$C:$C,MATCH($I53,손익계산서!$G:$G,0)),0)</f>
        <v>0</v>
      </c>
      <c r="D53" s="96">
        <f t="shared" si="10"/>
        <v>0</v>
      </c>
      <c r="E53" s="95">
        <f>IFERROR(INDEX(손익계산서!$D:$D,MATCH($I53,손익계산서!$G:$G,0)),0)</f>
        <v>12939378</v>
      </c>
      <c r="F53" s="95">
        <f>IFERROR(INDEX(손익계산서!$E:$E,MATCH($I53,손익계산서!$G:$G,0)),0)</f>
        <v>0</v>
      </c>
      <c r="G53" s="96">
        <f t="shared" si="11"/>
        <v>3.6184230996093422E-4</v>
      </c>
      <c r="H53" t="str">
        <f t="shared" si="6"/>
        <v>외화환산손실</v>
      </c>
      <c r="I53" t="str">
        <f>H53&amp;"|"&amp;COUNTIF($H$9:H53,H53)</f>
        <v>외화환산손실|1</v>
      </c>
      <c r="J53" s="93" t="str">
        <f>IF($A53="","",IF(ISNUMBER(MATCH($I53,손익계산서!$G:$G,0)),"✓ 일치","⚠ 확인필요"))</f>
        <v>✓ 일치</v>
      </c>
      <c r="K53" s="94">
        <f t="shared" si="7"/>
        <v>-3.6184230996093422E-4</v>
      </c>
    </row>
    <row r="54" spans="1:11" ht="16.5" customHeight="1">
      <c r="A54" s="67" t="s">
        <v>176</v>
      </c>
      <c r="B54" s="95">
        <f>IFERROR(INDEX(손익계산서!$B:$B,MATCH($I54,손익계산서!$G:$G,0)),0)</f>
        <v>0</v>
      </c>
      <c r="C54" s="95">
        <f>IFERROR(INDEX(손익계산서!$C:$C,MATCH($I54,손익계산서!$G:$G,0)),0)</f>
        <v>0</v>
      </c>
      <c r="D54" s="96">
        <f t="shared" si="10"/>
        <v>0</v>
      </c>
      <c r="E54" s="95">
        <f>IFERROR(INDEX(손익계산서!$D:$D,MATCH($I54,손익계산서!$G:$G,0)),0)</f>
        <v>0</v>
      </c>
      <c r="F54" s="95">
        <f>IFERROR(INDEX(손익계산서!$E:$E,MATCH($I54,손익계산서!$G:$G,0)),0)</f>
        <v>0</v>
      </c>
      <c r="G54" s="96">
        <f t="shared" si="11"/>
        <v>0</v>
      </c>
      <c r="H54" t="str">
        <f t="shared" si="6"/>
        <v>금융상품평가손실</v>
      </c>
      <c r="I54" t="str">
        <f>H54&amp;"|"&amp;COUNTIF($H$9:H54,H54)</f>
        <v>금융상품평가손실|1</v>
      </c>
      <c r="J54" s="93" t="str">
        <f>IF($A54="","",IF(ISNUMBER(MATCH($I54,손익계산서!$G:$G,0)),"✓ 일치","⚠ 확인필요"))</f>
        <v>⚠ 확인필요</v>
      </c>
      <c r="K54" s="94">
        <f t="shared" si="7"/>
        <v>0</v>
      </c>
    </row>
    <row r="55" spans="1:11" ht="16.5" customHeight="1">
      <c r="A55" s="101" t="s">
        <v>177</v>
      </c>
      <c r="B55" s="95">
        <f>IFERROR(INDEX(손익계산서!$B:$B,MATCH($I55,손익계산서!$G:$G,0)),0)</f>
        <v>2000</v>
      </c>
      <c r="C55" s="95">
        <f>IFERROR(INDEX(손익계산서!$C:$C,MATCH($I55,손익계산서!$G:$G,0)),0)</f>
        <v>0</v>
      </c>
      <c r="D55" s="96">
        <f t="shared" si="10"/>
        <v>9.2936952675024516E-8</v>
      </c>
      <c r="E55" s="95">
        <f>IFERROR(INDEX(손익계산서!$D:$D,MATCH($I55,손익계산서!$G:$G,0)),0)</f>
        <v>0</v>
      </c>
      <c r="F55" s="95">
        <f>IFERROR(INDEX(손익계산서!$E:$E,MATCH($I55,손익계산서!$G:$G,0)),0)</f>
        <v>0</v>
      </c>
      <c r="G55" s="96">
        <f t="shared" si="11"/>
        <v>0</v>
      </c>
      <c r="H55" t="str">
        <f t="shared" si="6"/>
        <v>유형자산처분손실</v>
      </c>
      <c r="I55" t="str">
        <f>H55&amp;"|"&amp;COUNTIF($H$9:H55,H55)</f>
        <v>유형자산처분손실|1</v>
      </c>
      <c r="J55" s="93" t="str">
        <f>IF($A55="","",IF(ISNUMBER(MATCH($I55,손익계산서!$G:$G,0)),"✓ 일치","⚠ 확인필요"))</f>
        <v>✓ 일치</v>
      </c>
      <c r="K55" s="94">
        <f t="shared" si="7"/>
        <v>9.2936952675024516E-8</v>
      </c>
    </row>
    <row r="56" spans="1:11" ht="16.5" customHeight="1">
      <c r="A56" s="67" t="s">
        <v>178</v>
      </c>
      <c r="B56" s="95">
        <f>IFERROR(INDEX(손익계산서!$B:$B,MATCH($I56,손익계산서!$G:$G,0)),0)</f>
        <v>181936</v>
      </c>
      <c r="C56" s="95">
        <f>IFERROR(INDEX(손익계산서!$C:$C,MATCH($I56,손익계산서!$G:$G,0)),0)</f>
        <v>0</v>
      </c>
      <c r="D56" s="96">
        <f t="shared" si="10"/>
        <v>8.4542887109416292E-6</v>
      </c>
      <c r="E56" s="95">
        <f>IFERROR(INDEX(손익계산서!$D:$D,MATCH($I56,손익계산서!$G:$G,0)),0)</f>
        <v>306818</v>
      </c>
      <c r="F56" s="95">
        <f>IFERROR(INDEX(손익계산서!$E:$E,MATCH($I56,손익계산서!$G:$G,0)),0)</f>
        <v>0</v>
      </c>
      <c r="G56" s="96">
        <f t="shared" si="11"/>
        <v>8.5799900008790154E-6</v>
      </c>
      <c r="H56" t="str">
        <f t="shared" si="6"/>
        <v>잡손실</v>
      </c>
      <c r="I56" t="str">
        <f>H56&amp;"|"&amp;COUNTIF($H$9:H56,H56)</f>
        <v>잡손실|1</v>
      </c>
      <c r="J56" s="93" t="str">
        <f>IF($A56="","",IF(ISNUMBER(MATCH($I56,손익계산서!$G:$G,0)),"✓ 일치","⚠ 확인필요"))</f>
        <v>✓ 일치</v>
      </c>
      <c r="K56" s="94">
        <f t="shared" si="7"/>
        <v>-1.257012899373862E-7</v>
      </c>
    </row>
    <row r="57" spans="1:11" ht="16.5" customHeight="1">
      <c r="A57" s="67" t="s">
        <v>179</v>
      </c>
      <c r="B57" s="95">
        <f>IFERROR(INDEX(손익계산서!$B:$B,MATCH($I57,손익계산서!$G:$G,0)),0)</f>
        <v>0</v>
      </c>
      <c r="C57" s="95">
        <f>IFERROR(INDEX(손익계산서!$C:$C,MATCH($I57,손익계산서!$G:$G,0)),0)</f>
        <v>0</v>
      </c>
      <c r="D57" s="96">
        <f t="shared" si="10"/>
        <v>0</v>
      </c>
      <c r="E57" s="95">
        <f>IFERROR(INDEX(손익계산서!$D:$D,MATCH($I57,손익계산서!$G:$G,0)),0)</f>
        <v>0</v>
      </c>
      <c r="F57" s="95">
        <f>IFERROR(INDEX(손익계산서!$E:$E,MATCH($I57,손익계산서!$G:$G,0)),0)</f>
        <v>0</v>
      </c>
      <c r="G57" s="96">
        <f t="shared" si="11"/>
        <v>0</v>
      </c>
      <c r="H57" t="str">
        <f t="shared" si="6"/>
        <v>법인세추납액</v>
      </c>
      <c r="I57" t="str">
        <f>H57&amp;"|"&amp;COUNTIF($H$9:H57,H57)</f>
        <v>법인세추납액|1</v>
      </c>
      <c r="J57" s="93" t="str">
        <f>IF($A57="","",IF(ISNUMBER(MATCH($I57,손익계산서!$G:$G,0)),"✓ 일치","⚠ 확인필요"))</f>
        <v>⚠ 확인필요</v>
      </c>
      <c r="K57" s="94">
        <f t="shared" si="7"/>
        <v>0</v>
      </c>
    </row>
    <row r="58" spans="1:11" ht="17.25" customHeight="1">
      <c r="A58" s="74" t="s">
        <v>180</v>
      </c>
      <c r="B58" s="91">
        <f>IFERROR(INDEX(손익계산서!$B:$B,MATCH($I58,손익계산서!$G:$G,0)),0)</f>
        <v>0</v>
      </c>
      <c r="C58" s="91">
        <f>IFERROR(INDEX(손익계산서!$C:$C,MATCH($I58,손익계산서!$G:$G,0)),0)</f>
        <v>1851830746</v>
      </c>
      <c r="D58" s="92">
        <f>C58/C9</f>
        <v>8.6051753201578665E-2</v>
      </c>
      <c r="E58" s="91">
        <f>IFERROR(INDEX(손익계산서!$D:$D,MATCH($I58,손익계산서!$G:$G,0)),0)</f>
        <v>0</v>
      </c>
      <c r="F58" s="91">
        <f>IFERROR(INDEX(손익계산서!$E:$E,MATCH($I58,손익계산서!$G:$G,0)),0)</f>
        <v>1821028589</v>
      </c>
      <c r="G58" s="92">
        <f>F58/F9</f>
        <v>5.0924023639208983E-2</v>
      </c>
      <c r="H58" t="str">
        <f t="shared" si="6"/>
        <v>Ⅷ.법인세비용차감전순이익</v>
      </c>
      <c r="I58" t="str">
        <f>H58&amp;"|"&amp;COUNTIF($H$9:H58,H58)</f>
        <v>Ⅷ.법인세비용차감전순이익|1</v>
      </c>
      <c r="J58" s="93" t="str">
        <f>IF($A58="","",IF(ISNUMBER(MATCH($I58,손익계산서!$G:$G,0)),"✓ 일치","⚠ 확인필요"))</f>
        <v>✓ 일치</v>
      </c>
      <c r="K58" s="94">
        <f t="shared" si="7"/>
        <v>3.5127729562369682E-2</v>
      </c>
    </row>
    <row r="59" spans="1:11" ht="16.5" customHeight="1">
      <c r="A59" s="74" t="s">
        <v>181</v>
      </c>
      <c r="B59" s="91">
        <f>IFERROR(INDEX(손익계산서!$B:$B,MATCH($I59,손익계산서!$G:$G,0)),0)</f>
        <v>0</v>
      </c>
      <c r="C59" s="91">
        <f>IFERROR(INDEX(손익계산서!$C:$C,MATCH($I59,손익계산서!$G:$G,0)),0)</f>
        <v>0</v>
      </c>
      <c r="D59" s="92">
        <f>C59/C9</f>
        <v>0</v>
      </c>
      <c r="E59" s="91">
        <f>IFERROR(INDEX(손익계산서!$D:$D,MATCH($I59,손익계산서!$G:$G,0)),0)</f>
        <v>0</v>
      </c>
      <c r="F59" s="91">
        <f>IFERROR(INDEX(손익계산서!$E:$E,MATCH($I59,손익계산서!$G:$G,0)),0)</f>
        <v>408545770</v>
      </c>
      <c r="G59" s="92">
        <f>F59/F9</f>
        <v>1.1424748944003997E-2</v>
      </c>
      <c r="H59" t="str">
        <f t="shared" si="6"/>
        <v>Ⅸ.법인세비용</v>
      </c>
      <c r="I59" t="str">
        <f>H59&amp;"|"&amp;COUNTIF($H$9:H59,H59)</f>
        <v>Ⅸ.법인세비용|1</v>
      </c>
      <c r="J59" s="93" t="str">
        <f>IF($A59="","",IF(ISNUMBER(MATCH($I59,손익계산서!$G:$G,0)),"✓ 일치","⚠ 확인필요"))</f>
        <v>✓ 일치</v>
      </c>
      <c r="K59" s="94">
        <f t="shared" si="7"/>
        <v>-1.1424748944003997E-2</v>
      </c>
    </row>
    <row r="60" spans="1:11" ht="16.5" customHeight="1">
      <c r="A60" s="67" t="s">
        <v>182</v>
      </c>
      <c r="B60" s="95">
        <f>IFERROR(INDEX(손익계산서!$B:$B,MATCH($I60,손익계산서!$G:$G,0)),0)</f>
        <v>0</v>
      </c>
      <c r="C60" s="95">
        <f>IFERROR(INDEX(손익계산서!$C:$C,MATCH($I60,손익계산서!$G:$G,0)),0)</f>
        <v>0</v>
      </c>
      <c r="D60" s="96"/>
      <c r="E60" s="95">
        <f>IFERROR(INDEX(손익계산서!$D:$D,MATCH($I60,손익계산서!$G:$G,0)),0)</f>
        <v>408545770</v>
      </c>
      <c r="F60" s="95">
        <f>IFERROR(INDEX(손익계산서!$E:$E,MATCH($I60,손익계산서!$G:$G,0)),0)</f>
        <v>0</v>
      </c>
      <c r="G60" s="96"/>
      <c r="H60" t="str">
        <f t="shared" si="6"/>
        <v>법인세등</v>
      </c>
      <c r="I60" t="str">
        <f>H60&amp;"|"&amp;COUNTIF($H$9:H60,H60)</f>
        <v>법인세등|1</v>
      </c>
      <c r="J60" s="93" t="str">
        <f>IF($A60="","",IF(ISNUMBER(MATCH($I60,손익계산서!$G:$G,0)),"✓ 일치","⚠ 확인필요"))</f>
        <v>✓ 일치</v>
      </c>
      <c r="K60" s="94" t="str">
        <f t="shared" si="7"/>
        <v/>
      </c>
    </row>
    <row r="61" spans="1:11" ht="17.25" customHeight="1">
      <c r="A61" s="74" t="s">
        <v>183</v>
      </c>
      <c r="B61" s="91">
        <f>IFERROR(INDEX(손익계산서!$B:$B,MATCH($I61,손익계산서!$G:$G,0)),0)</f>
        <v>0</v>
      </c>
      <c r="C61" s="91">
        <f>IFERROR(INDEX(손익계산서!$C:$C,MATCH($I61,손익계산서!$G:$G,0)),0)</f>
        <v>1851830746</v>
      </c>
      <c r="D61" s="92">
        <f>C61/C9</f>
        <v>8.6051753201578665E-2</v>
      </c>
      <c r="E61" s="91">
        <f>IFERROR(INDEX(손익계산서!$D:$D,MATCH($I61,손익계산서!$G:$G,0)),0)</f>
        <v>0</v>
      </c>
      <c r="F61" s="91">
        <f>IFERROR(INDEX(손익계산서!$E:$E,MATCH($I61,손익계산서!$G:$G,0)),0)</f>
        <v>1412482819</v>
      </c>
      <c r="G61" s="92">
        <f>F61/F9</f>
        <v>3.9499274695204992E-2</v>
      </c>
      <c r="H61" t="str">
        <f t="shared" si="6"/>
        <v>Ⅹ.당기순이익</v>
      </c>
      <c r="I61" t="str">
        <f>H61&amp;"|"&amp;COUNTIF($H$9:H61,H61)</f>
        <v>Ⅹ.당기순이익|1</v>
      </c>
      <c r="J61" s="93" t="str">
        <f>IF($A61="","",IF(ISNUMBER(MATCH($I61,손익계산서!$G:$G,0)),"✓ 일치","⚠ 확인필요"))</f>
        <v>✓ 일치</v>
      </c>
      <c r="K61" s="94">
        <f t="shared" si="7"/>
        <v>4.6552478506373673E-2</v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phoneticPr fontId="41" type="noConversion"/>
  <conditionalFormatting sqref="J9:J61">
    <cfRule type="expression" dxfId="9" priority="5">
      <formula>$J9="✓ 일치"</formula>
    </cfRule>
    <cfRule type="expression" dxfId="8" priority="6">
      <formula>$J9="⚠ 확인필요"</formula>
    </cfRule>
  </conditionalFormatting>
  <conditionalFormatting sqref="K9:K61">
    <cfRule type="cellIs" dxfId="7" priority="2" operator="greaterThan">
      <formula>0</formula>
    </cfRule>
    <cfRule type="cellIs" dxfId="6" priority="3" operator="lessThan">
      <formula>0</formula>
    </cfRule>
    <cfRule type="expression" dxfId="5" priority="4">
      <formula>ABS($K9)&gt;0.02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77" orientation="portrait" verticalDpi="300" r:id="rId1"/>
  <headerFooter>
    <oddFooter>&amp;C&amp;P/1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C00"/>
  </sheetPr>
  <dimension ref="A1:Q55"/>
  <sheetViews>
    <sheetView topLeftCell="A37" zoomScaleNormal="100" workbookViewId="0">
      <selection activeCell="K41" sqref="K41"/>
    </sheetView>
  </sheetViews>
  <sheetFormatPr defaultColWidth="9.1640625" defaultRowHeight="11.25"/>
  <cols>
    <col min="1" max="1" width="30" customWidth="1"/>
    <col min="2" max="8" width="20" hidden="1" customWidth="1"/>
    <col min="9" max="10" width="22" customWidth="1"/>
    <col min="11" max="11" width="19.1640625" customWidth="1"/>
    <col min="12" max="12" width="13" style="102" customWidth="1"/>
    <col min="13" max="13" width="68.6640625" style="5" customWidth="1"/>
    <col min="14" max="15" width="13" hidden="1" customWidth="1"/>
    <col min="16" max="16" width="12" hidden="1" customWidth="1"/>
    <col min="17" max="17" width="11" hidden="1" customWidth="1"/>
  </cols>
  <sheetData>
    <row r="1" spans="1:17" ht="24" customHeight="1">
      <c r="A1" s="149" t="str">
        <f>"손익계산서(전월대비 증감내역)"</f>
        <v>손익계산서(전월대비 증감내역)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56"/>
      <c r="M1" s="153"/>
    </row>
    <row r="2" spans="1:17" ht="7.5" customHeight="1"/>
    <row r="3" spans="1:17" ht="18.75" customHeight="1">
      <c r="A3" s="155" t="str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>기간 : 2026년06월01일부터 - 2026년07월31일까지</v>
      </c>
      <c r="B3" s="127"/>
      <c r="C3" s="127"/>
      <c r="D3" s="127"/>
      <c r="E3" s="127"/>
      <c r="F3" s="127"/>
      <c r="G3" s="127"/>
      <c r="H3" s="127"/>
      <c r="I3" s="127"/>
      <c r="J3" s="127"/>
      <c r="K3" s="127"/>
      <c r="L3" s="156"/>
      <c r="M3" s="153"/>
    </row>
    <row r="5" spans="1:17" ht="11.25" customHeight="1">
      <c r="A5" s="63" t="s">
        <v>41</v>
      </c>
      <c r="M5" s="103" t="s">
        <v>42</v>
      </c>
    </row>
    <row r="6" spans="1:17" ht="35.25" customHeight="1">
      <c r="A6" s="65" t="s">
        <v>43</v>
      </c>
      <c r="B6" s="65" t="s">
        <v>184</v>
      </c>
      <c r="C6" s="65" t="s">
        <v>185</v>
      </c>
      <c r="D6" s="65" t="s">
        <v>186</v>
      </c>
      <c r="E6" s="65" t="s">
        <v>187</v>
      </c>
      <c r="F6" s="65" t="s">
        <v>188</v>
      </c>
      <c r="G6" s="65" t="s">
        <v>189</v>
      </c>
      <c r="H6" s="65" t="s">
        <v>190</v>
      </c>
      <c r="I6" s="65" t="str">
        <f>"전월("&amp;MONTH(EOMONTH(인덱스!$K$1,-1))&amp;"월)"</f>
        <v>전월(6월)</v>
      </c>
      <c r="J6" s="65" t="str">
        <f>"당월("&amp;MONTH(인덱스!$K$1)&amp;"월)"</f>
        <v>당월(7월)</v>
      </c>
      <c r="K6" s="104" t="s">
        <v>191</v>
      </c>
      <c r="L6" s="104" t="s">
        <v>192</v>
      </c>
      <c r="M6" s="65" t="s">
        <v>45</v>
      </c>
      <c r="P6" s="66" t="s">
        <v>48</v>
      </c>
      <c r="Q6" s="66" t="s">
        <v>15</v>
      </c>
    </row>
    <row r="7" spans="1:17" ht="22.5" customHeight="1">
      <c r="A7" s="105" t="s">
        <v>130</v>
      </c>
      <c r="B7" s="91">
        <f>IFERROR(INDEX(기간별손익계산서!$B:$B,MATCH($O7,기간별손익계산서!$Q:$Q,0)),0)</f>
        <v>21519965336</v>
      </c>
      <c r="C7" s="91">
        <f>IFERROR(INDEX(기간별손익계산서!$C:$N,MATCH($O7,기간별손익계산서!$Q:$Q,0),1),0)</f>
        <v>2735381647</v>
      </c>
      <c r="D7" s="91">
        <f>IFERROR(INDEX(기간별손익계산서!$C:$N,MATCH($O7,기간별손익계산서!$Q:$Q,0),2),0)</f>
        <v>2447781972</v>
      </c>
      <c r="E7" s="91">
        <f>IFERROR(INDEX(기간별손익계산서!$C:$N,MATCH($O7,기간별손익계산서!$Q:$Q,0),3),0)</f>
        <v>4328182055</v>
      </c>
      <c r="F7" s="91">
        <f>IFERROR(INDEX(기간별손익계산서!$C:$N,MATCH($O7,기간별손익계산서!$Q:$Q,0),4),0)</f>
        <v>4152427518</v>
      </c>
      <c r="G7" s="91">
        <f>IFERROR(INDEX(기간별손익계산서!$C:$N,MATCH($O7,기간별손익계산서!$Q:$Q,0),5),0)</f>
        <v>2755697515</v>
      </c>
      <c r="H7" s="91">
        <f>IFERROR(INDEX(기간별손익계산서!$C:$N,MATCH($O7,기간별손익계산서!$Q:$Q,0),6),0)</f>
        <v>2793851873</v>
      </c>
      <c r="I7" s="91">
        <f>IFERROR(INDEX(기간별손익계산서!$C:$N,MATCH($O7,기간별손익계산서!$Q:$Q,0),MONTH(EOMONTH(인덱스!$K$1,-1))),0)</f>
        <v>2793851873</v>
      </c>
      <c r="J7" s="91">
        <f>IFERROR(INDEX(기간별손익계산서!$C:$N,MATCH($O7,기간별손익계산서!$Q:$Q,0),MONTH(인덱스!$K$1)),0)</f>
        <v>2306642756</v>
      </c>
      <c r="K7" s="91">
        <f t="shared" ref="K7:K54" si="0">J7-I7</f>
        <v>-487209117</v>
      </c>
      <c r="L7" s="106" t="str">
        <f>IF(J7-I7&gt;0,"증가",IF(J7-I7=0,"변동없음","감소"))</f>
        <v>감소</v>
      </c>
      <c r="M7" s="107"/>
      <c r="N7" t="str">
        <f t="shared" ref="N7:N54" si="1">SUBSTITUTE(A7," ","")</f>
        <v>Ⅰ.매출액</v>
      </c>
      <c r="O7" t="str">
        <f>N7&amp;"|"&amp;COUNTIF($N$7:N7,N7)</f>
        <v>Ⅰ.매출액|1</v>
      </c>
      <c r="P7" s="93" t="str">
        <f>IF($A7="","",IF(ISNUMBER(MATCH($O7,기간별손익계산서!$Q:$Q,0)),"✓ 일치","⚠ 확인필요"))</f>
        <v>✓ 일치</v>
      </c>
      <c r="Q7" s="94">
        <f t="shared" ref="Q7:Q54" si="2">IFERROR(IF(I7=0,"",(J7-I7)/ABS(I7)),"")</f>
        <v>-0.17438616617739347</v>
      </c>
    </row>
    <row r="8" spans="1:17" ht="22.5" customHeight="1">
      <c r="A8" s="108" t="s">
        <v>131</v>
      </c>
      <c r="B8" s="95">
        <f>IFERROR(INDEX(기간별손익계산서!$B:$B,MATCH($O8,기간별손익계산서!$Q:$Q,0)),0)</f>
        <v>21466362478</v>
      </c>
      <c r="C8" s="95">
        <f>IFERROR(INDEX(기간별손익계산서!$C:$N,MATCH($O8,기간별손익계산서!$Q:$Q,0),1),0)</f>
        <v>2685863045</v>
      </c>
      <c r="D8" s="95">
        <f>IFERROR(INDEX(기간별손익계산서!$C:$N,MATCH($O8,기간별손익계산서!$Q:$Q,0),2),0)</f>
        <v>2447781972</v>
      </c>
      <c r="E8" s="95">
        <f>IFERROR(INDEX(기간별손익계산서!$C:$N,MATCH($O8,기간별손익계산서!$Q:$Q,0),3),0)</f>
        <v>4324942055</v>
      </c>
      <c r="F8" s="95">
        <f>IFERROR(INDEX(기간별손익계산서!$C:$N,MATCH($O8,기간별손익계산서!$Q:$Q,0),4),0)</f>
        <v>4151583262</v>
      </c>
      <c r="G8" s="95">
        <f>IFERROR(INDEX(기간별손익계산서!$C:$N,MATCH($O8,기간별손익계산서!$Q:$Q,0),5),0)</f>
        <v>2755697515</v>
      </c>
      <c r="H8" s="95">
        <f>IFERROR(INDEX(기간별손익계산서!$C:$N,MATCH($O8,기간별손익계산서!$Q:$Q,0),6),0)</f>
        <v>2793851873</v>
      </c>
      <c r="I8" s="95">
        <f>IFERROR(INDEX(기간별손익계산서!$C:$N,MATCH($O8,기간별손익계산서!$Q:$Q,0),MONTH(EOMONTH(인덱스!$K$1,-1))),0)</f>
        <v>2793851873</v>
      </c>
      <c r="J8" s="95">
        <f>IFERROR(INDEX(기간별손익계산서!$C:$N,MATCH($O8,기간별손익계산서!$Q:$Q,0),MONTH(인덱스!$K$1)),0)</f>
        <v>2306642756</v>
      </c>
      <c r="K8" s="95">
        <f t="shared" si="0"/>
        <v>-487209117</v>
      </c>
      <c r="L8" s="109"/>
      <c r="M8" s="110"/>
      <c r="N8" t="str">
        <f t="shared" si="1"/>
        <v>상품매출</v>
      </c>
      <c r="O8" t="str">
        <f>N8&amp;"|"&amp;COUNTIF($N$7:N8,N8)</f>
        <v>상품매출|1</v>
      </c>
      <c r="P8" s="93" t="str">
        <f>IF($A8="","",IF(ISNUMBER(MATCH($O8,기간별손익계산서!$Q:$Q,0)),"✓ 일치","⚠ 확인필요"))</f>
        <v>✓ 일치</v>
      </c>
      <c r="Q8" s="94">
        <f t="shared" si="2"/>
        <v>-0.17438616617739347</v>
      </c>
    </row>
    <row r="9" spans="1:17" ht="22.5" customHeight="1">
      <c r="A9" s="108" t="s">
        <v>132</v>
      </c>
      <c r="B9" s="111">
        <f>IFERROR(INDEX(기간별손익계산서!$B:$B,MATCH($O9,기간별손익계산서!$Q:$Q,0)),0)</f>
        <v>53602858</v>
      </c>
      <c r="C9" s="111">
        <f>IFERROR(INDEX(기간별손익계산서!$C:$N,MATCH($O9,기간별손익계산서!$Q:$Q,0),1),0)</f>
        <v>49518602</v>
      </c>
      <c r="D9" s="111">
        <f>IFERROR(INDEX(기간별손익계산서!$C:$N,MATCH($O9,기간별손익계산서!$Q:$Q,0),2),0)</f>
        <v>0</v>
      </c>
      <c r="E9" s="111">
        <f>IFERROR(INDEX(기간별손익계산서!$C:$N,MATCH($O9,기간별손익계산서!$Q:$Q,0),3),0)</f>
        <v>3240000</v>
      </c>
      <c r="F9" s="111">
        <f>IFERROR(INDEX(기간별손익계산서!$C:$N,MATCH($O9,기간별손익계산서!$Q:$Q,0),4),0)</f>
        <v>844256</v>
      </c>
      <c r="G9" s="111">
        <f>IFERROR(INDEX(기간별손익계산서!$C:$N,MATCH($O9,기간별손익계산서!$Q:$Q,0),5),0)</f>
        <v>0</v>
      </c>
      <c r="H9" s="111">
        <f>IFERROR(INDEX(기간별손익계산서!$C:$N,MATCH($O9,기간별손익계산서!$Q:$Q,0),6),0)</f>
        <v>0</v>
      </c>
      <c r="I9" s="95">
        <f>IFERROR(INDEX(기간별손익계산서!$C:$N,MATCH($O9,기간별손익계산서!$Q:$Q,0),MONTH(EOMONTH(인덱스!$K$1,-1))),0)</f>
        <v>0</v>
      </c>
      <c r="J9" s="95">
        <f>IFERROR(INDEX(기간별손익계산서!$C:$N,MATCH($O9,기간별손익계산서!$Q:$Q,0),MONTH(인덱스!$K$1)),0)</f>
        <v>0</v>
      </c>
      <c r="K9" s="95">
        <f t="shared" si="0"/>
        <v>0</v>
      </c>
      <c r="L9" s="109"/>
      <c r="M9" s="110"/>
      <c r="N9" t="str">
        <f t="shared" si="1"/>
        <v>상품수출매출</v>
      </c>
      <c r="O9" t="str">
        <f>N9&amp;"|"&amp;COUNTIF($N$7:N9,N9)</f>
        <v>상품수출매출|1</v>
      </c>
      <c r="P9" s="93" t="str">
        <f>IF($A9="","",IF(ISNUMBER(MATCH($O9,기간별손익계산서!$Q:$Q,0)),"✓ 일치","⚠ 확인필요"))</f>
        <v>✓ 일치</v>
      </c>
      <c r="Q9" s="94" t="str">
        <f t="shared" si="2"/>
        <v/>
      </c>
    </row>
    <row r="10" spans="1:17" ht="22.5" customHeight="1">
      <c r="A10" s="105" t="s">
        <v>133</v>
      </c>
      <c r="B10" s="112">
        <f>IFERROR(INDEX(기간별손익계산서!$B:$B,MATCH($O10,기간별손익계산서!$Q:$Q,0)),0)</f>
        <v>17650813148</v>
      </c>
      <c r="C10" s="112">
        <f>IFERROR(INDEX(기간별손익계산서!$C:$N,MATCH($O10,기간별손익계산서!$Q:$Q,0),1),0)</f>
        <v>2239786263</v>
      </c>
      <c r="D10" s="112">
        <f>IFERROR(INDEX(기간별손익계산서!$C:$N,MATCH($O10,기간별손익계산서!$Q:$Q,0),2),0)</f>
        <v>1986355221</v>
      </c>
      <c r="E10" s="112">
        <f>IFERROR(INDEX(기간별손익계산서!$C:$N,MATCH($O10,기간별손익계산서!$Q:$Q,0),3),0)</f>
        <v>3593571301</v>
      </c>
      <c r="F10" s="112">
        <f>IFERROR(INDEX(기간별손익계산서!$C:$N,MATCH($O10,기간별손익계산서!$Q:$Q,0),4),0)</f>
        <v>3504736843</v>
      </c>
      <c r="G10" s="112">
        <f>IFERROR(INDEX(기간별손익계산서!$C:$N,MATCH($O10,기간별손익계산서!$Q:$Q,0),5),0)</f>
        <v>2214895735</v>
      </c>
      <c r="H10" s="112">
        <f>IFERROR(INDEX(기간별손익계산서!$C:$N,MATCH($O10,기간별손익계산서!$Q:$Q,0),6),0)</f>
        <v>2262213603</v>
      </c>
      <c r="I10" s="91">
        <f>IFERROR(INDEX(기간별손익계산서!$C:$N,MATCH($O10,기간별손익계산서!$Q:$Q,0),MONTH(EOMONTH(인덱스!$K$1,-1))),0)</f>
        <v>2262213603</v>
      </c>
      <c r="J10" s="91">
        <f>IFERROR(INDEX(기간별손익계산서!$C:$N,MATCH($O10,기간별손익계산서!$Q:$Q,0),MONTH(인덱스!$K$1)),0)</f>
        <v>1849254182</v>
      </c>
      <c r="K10" s="91">
        <f t="shared" si="0"/>
        <v>-412959421</v>
      </c>
      <c r="L10" s="106" t="str">
        <f>IF(J10-I10&gt;0,"증가",IF(J10-I10=0,"변동없음","감소"))</f>
        <v>감소</v>
      </c>
      <c r="M10" s="107"/>
      <c r="N10" t="str">
        <f t="shared" si="1"/>
        <v>Ⅱ.매출원가</v>
      </c>
      <c r="O10" t="str">
        <f>N10&amp;"|"&amp;COUNTIF($N$7:N10,N10)</f>
        <v>Ⅱ.매출원가|1</v>
      </c>
      <c r="P10" s="93" t="str">
        <f>IF($A10="","",IF(ISNUMBER(MATCH($O10,기간별손익계산서!$Q:$Q,0)),"✓ 일치","⚠ 확인필요"))</f>
        <v>✓ 일치</v>
      </c>
      <c r="Q10" s="94">
        <f t="shared" si="2"/>
        <v>-0.18254660853084792</v>
      </c>
    </row>
    <row r="11" spans="1:17" ht="22.5" customHeight="1">
      <c r="A11" s="108" t="s">
        <v>134</v>
      </c>
      <c r="B11" s="111">
        <f>IFERROR(INDEX(기간별손익계산서!$B:$B,MATCH($O11,기간별손익계산서!$Q:$Q,0)),0)</f>
        <v>17650813148</v>
      </c>
      <c r="C11" s="111">
        <f>IFERROR(INDEX(기간별손익계산서!$C:$N,MATCH($O11,기간별손익계산서!$Q:$Q,0),1),0)</f>
        <v>2239786263</v>
      </c>
      <c r="D11" s="111">
        <f>IFERROR(INDEX(기간별손익계산서!$C:$N,MATCH($O11,기간별손익계산서!$Q:$Q,0),2),0)</f>
        <v>1986355221</v>
      </c>
      <c r="E11" s="111">
        <f>IFERROR(INDEX(기간별손익계산서!$C:$N,MATCH($O11,기간별손익계산서!$Q:$Q,0),3),0)</f>
        <v>3593571301</v>
      </c>
      <c r="F11" s="111">
        <f>IFERROR(INDEX(기간별손익계산서!$C:$N,MATCH($O11,기간별손익계산서!$Q:$Q,0),4),0)</f>
        <v>3504736843</v>
      </c>
      <c r="G11" s="111">
        <f>IFERROR(INDEX(기간별손익계산서!$C:$N,MATCH($O11,기간별손익계산서!$Q:$Q,0),5),0)</f>
        <v>2214895735</v>
      </c>
      <c r="H11" s="111">
        <f>IFERROR(INDEX(기간별손익계산서!$C:$N,MATCH($O11,기간별손익계산서!$Q:$Q,0),6),0)</f>
        <v>2262213603</v>
      </c>
      <c r="I11" s="95">
        <f>IFERROR(INDEX(기간별손익계산서!$C:$N,MATCH($O11,기간별손익계산서!$Q:$Q,0),MONTH(EOMONTH(인덱스!$K$1,-1))),0)</f>
        <v>2262213603</v>
      </c>
      <c r="J11" s="95">
        <f>IFERROR(INDEX(기간별손익계산서!$C:$N,MATCH($O11,기간별손익계산서!$Q:$Q,0),MONTH(인덱스!$K$1)),0)</f>
        <v>1849254182</v>
      </c>
      <c r="K11" s="95">
        <f t="shared" si="0"/>
        <v>-412959421</v>
      </c>
      <c r="L11" s="109"/>
      <c r="M11" s="110"/>
      <c r="N11" t="str">
        <f t="shared" si="1"/>
        <v>상품매출원가</v>
      </c>
      <c r="O11" t="str">
        <f>N11&amp;"|"&amp;COUNTIF($N$7:N11,N11)</f>
        <v>상품매출원가|1</v>
      </c>
      <c r="P11" s="93" t="str">
        <f>IF($A11="","",IF(ISNUMBER(MATCH($O11,기간별손익계산서!$Q:$Q,0)),"✓ 일치","⚠ 확인필요"))</f>
        <v>✓ 일치</v>
      </c>
      <c r="Q11" s="94">
        <f t="shared" si="2"/>
        <v>-0.18254660853084792</v>
      </c>
    </row>
    <row r="12" spans="1:17" ht="22.5" customHeight="1">
      <c r="A12" s="108" t="s">
        <v>135</v>
      </c>
      <c r="B12" s="111">
        <f>IFERROR(INDEX(기간별손익계산서!$B:$B,MATCH($O12,기간별손익계산서!$Q:$Q,0)),0)</f>
        <v>2126111102</v>
      </c>
      <c r="C12" s="111">
        <f>IFERROR(INDEX(기간별손익계산서!$C:$N,MATCH($O12,기간별손익계산서!$Q:$Q,0),1),0)</f>
        <v>2126111102</v>
      </c>
      <c r="D12" s="111">
        <f>IFERROR(INDEX(기간별손익계산서!$C:$N,MATCH($O12,기간별손익계산서!$Q:$Q,0),2),0)</f>
        <v>2138504857</v>
      </c>
      <c r="E12" s="111">
        <f>IFERROR(INDEX(기간별손익계산서!$C:$N,MATCH($O12,기간별손익계산서!$Q:$Q,0),3),0)</f>
        <v>2234084333</v>
      </c>
      <c r="F12" s="111">
        <f>IFERROR(INDEX(기간별손익계산서!$C:$N,MATCH($O12,기간별손익계산서!$Q:$Q,0),4),0)</f>
        <v>2477723821</v>
      </c>
      <c r="G12" s="111">
        <f>IFERROR(INDEX(기간별손익계산서!$C:$N,MATCH($O12,기간별손익계산서!$Q:$Q,0),5),0)</f>
        <v>2748658932</v>
      </c>
      <c r="H12" s="111">
        <f>IFERROR(INDEX(기간별손익계산서!$C:$N,MATCH($O12,기간별손익계산서!$Q:$Q,0),6),0)</f>
        <v>2688555911</v>
      </c>
      <c r="I12" s="95">
        <f>IFERROR(INDEX(기간별손익계산서!$C:$N,MATCH($O12,기간별손익계산서!$Q:$Q,0),MONTH(EOMONTH(인덱스!$K$1,-1))),0)</f>
        <v>2688555911</v>
      </c>
      <c r="J12" s="95">
        <f>IFERROR(INDEX(기간별손익계산서!$C:$N,MATCH($O12,기간별손익계산서!$Q:$Q,0),MONTH(인덱스!$K$1)),0)</f>
        <v>2999324483</v>
      </c>
      <c r="K12" s="95">
        <f t="shared" si="0"/>
        <v>310768572</v>
      </c>
      <c r="L12" s="109"/>
      <c r="M12" s="110"/>
      <c r="N12" t="str">
        <f t="shared" si="1"/>
        <v>기초상품재고액</v>
      </c>
      <c r="O12" t="str">
        <f>N12&amp;"|"&amp;COUNTIF($N$7:N12,N12)</f>
        <v>기초상품재고액|1</v>
      </c>
      <c r="P12" s="93" t="str">
        <f>IF($A12="","",IF(ISNUMBER(MATCH($O12,기간별손익계산서!$Q:$Q,0)),"✓ 일치","⚠ 확인필요"))</f>
        <v>✓ 일치</v>
      </c>
      <c r="Q12" s="94">
        <f t="shared" si="2"/>
        <v>0.11558940274536102</v>
      </c>
    </row>
    <row r="13" spans="1:17" ht="22.5" customHeight="1">
      <c r="A13" s="108" t="s">
        <v>136</v>
      </c>
      <c r="B13" s="111">
        <f>IFERROR(INDEX(기간별손익계산서!$B:$B,MATCH($O13,기간별손익계산서!$Q:$Q,0)),0)</f>
        <v>18479894308</v>
      </c>
      <c r="C13" s="111">
        <f>IFERROR(INDEX(기간별손익계산서!$C:$N,MATCH($O13,기간별손익계산서!$Q:$Q,0),1),0)</f>
        <v>2262611475</v>
      </c>
      <c r="D13" s="111">
        <f>IFERROR(INDEX(기간별손익계산서!$C:$N,MATCH($O13,기간별손익계산서!$Q:$Q,0),2),0)</f>
        <v>2098036708</v>
      </c>
      <c r="E13" s="111">
        <f>IFERROR(INDEX(기간별손익계산서!$C:$N,MATCH($O13,기간별손익계산서!$Q:$Q,0),3),0)</f>
        <v>3842122282</v>
      </c>
      <c r="F13" s="111">
        <f>IFERROR(INDEX(기간별손익계산서!$C:$N,MATCH($O13,기간별손익계산서!$Q:$Q,0),4),0)</f>
        <v>3789768692</v>
      </c>
      <c r="G13" s="111">
        <f>IFERROR(INDEX(기간별손익계산서!$C:$N,MATCH($O13,기간별손익계산서!$Q:$Q,0),5),0)</f>
        <v>2174085277</v>
      </c>
      <c r="H13" s="111">
        <f>IFERROR(INDEX(기간별손익계산서!$C:$N,MATCH($O13,기간별손익계산서!$Q:$Q,0),6),0)</f>
        <v>2581553781</v>
      </c>
      <c r="I13" s="95">
        <f>IFERROR(INDEX(기간별손익계산서!$C:$N,MATCH($O13,기간별손익계산서!$Q:$Q,0),MONTH(EOMONTH(인덱스!$K$1,-1))),0)</f>
        <v>2581553781</v>
      </c>
      <c r="J13" s="95">
        <f>IFERROR(INDEX(기간별손익계산서!$C:$N,MATCH($O13,기간별손익계산서!$Q:$Q,0),MONTH(인덱스!$K$1)),0)</f>
        <v>1731716093</v>
      </c>
      <c r="K13" s="95">
        <f t="shared" si="0"/>
        <v>-849837688</v>
      </c>
      <c r="L13" s="109"/>
      <c r="M13" s="110"/>
      <c r="N13" t="str">
        <f t="shared" si="1"/>
        <v>당기상품매입액</v>
      </c>
      <c r="O13" t="str">
        <f>N13&amp;"|"&amp;COUNTIF($N$7:N13,N13)</f>
        <v>당기상품매입액|1</v>
      </c>
      <c r="P13" s="93" t="str">
        <f>IF($A13="","",IF(ISNUMBER(MATCH($O13,기간별손익계산서!$Q:$Q,0)),"✓ 일치","⚠ 확인필요"))</f>
        <v>✓ 일치</v>
      </c>
      <c r="Q13" s="94">
        <f t="shared" si="2"/>
        <v>-0.32919619736560507</v>
      </c>
    </row>
    <row r="14" spans="1:17" ht="22.5" customHeight="1">
      <c r="A14" s="108" t="s">
        <v>137</v>
      </c>
      <c r="B14" s="111">
        <f>IFERROR(INDEX(기간별손익계산서!$B:$B,MATCH($O14,기간별손익계산서!$Q:$Q,0)),0)</f>
        <v>91576826</v>
      </c>
      <c r="C14" s="111">
        <f>IFERROR(INDEX(기간별손익계산서!$C:$N,MATCH($O14,기간별손익계산서!$Q:$Q,0),1),0)</f>
        <v>10431457</v>
      </c>
      <c r="D14" s="111">
        <f>IFERROR(INDEX(기간별손익계산서!$C:$N,MATCH($O14,기간별손익계산서!$Q:$Q,0),2),0)</f>
        <v>16102011</v>
      </c>
      <c r="E14" s="111">
        <f>IFERROR(INDEX(기간별손익계산서!$C:$N,MATCH($O14,기간별손익계산서!$Q:$Q,0),3),0)</f>
        <v>4911493</v>
      </c>
      <c r="F14" s="111">
        <f>IFERROR(INDEX(기간별손익계산서!$C:$N,MATCH($O14,기간별손익계산서!$Q:$Q,0),4),0)</f>
        <v>14096738</v>
      </c>
      <c r="G14" s="111">
        <f>IFERROR(INDEX(기간별손익계산서!$C:$N,MATCH($O14,기간별손익계산서!$Q:$Q,0),5),0)</f>
        <v>19292563</v>
      </c>
      <c r="H14" s="111">
        <f>IFERROR(INDEX(기간별손익계산서!$C:$N,MATCH($O14,기간별손익계산서!$Q:$Q,0),6),0)</f>
        <v>8571606</v>
      </c>
      <c r="I14" s="95">
        <f>IFERROR(INDEX(기간별손익계산서!$C:$N,MATCH($O14,기간별손익계산서!$Q:$Q,0),MONTH(EOMONTH(인덱스!$K$1,-1))),0)</f>
        <v>8571606</v>
      </c>
      <c r="J14" s="95">
        <f>IFERROR(INDEX(기간별손익계산서!$C:$N,MATCH($O14,기간별손익계산서!$Q:$Q,0),MONTH(인덱스!$K$1)),0)</f>
        <v>18170958</v>
      </c>
      <c r="K14" s="95">
        <f t="shared" si="0"/>
        <v>9599352</v>
      </c>
      <c r="L14" s="109"/>
      <c r="M14" s="110"/>
      <c r="N14" t="str">
        <f t="shared" si="1"/>
        <v>매입할인</v>
      </c>
      <c r="O14" t="str">
        <f>N14&amp;"|"&amp;COUNTIF($N$7:N14,N14)</f>
        <v>매입할인|1</v>
      </c>
      <c r="P14" s="93" t="str">
        <f>IF($A14="","",IF(ISNUMBER(MATCH($O14,기간별손익계산서!$Q:$Q,0)),"✓ 일치","⚠ 확인필요"))</f>
        <v>✓ 일치</v>
      </c>
      <c r="Q14" s="94">
        <f t="shared" si="2"/>
        <v>1.1199012180447865</v>
      </c>
    </row>
    <row r="15" spans="1:17" ht="22.5" customHeight="1">
      <c r="A15" s="108" t="s">
        <v>138</v>
      </c>
      <c r="B15" s="111">
        <f>IFERROR(INDEX(기간별손익계산서!$B:$B,MATCH($O15,기간별손익계산서!$Q:$Q,0)),0)</f>
        <v>2863615436</v>
      </c>
      <c r="C15" s="111">
        <f>IFERROR(INDEX(기간별손익계산서!$C:$N,MATCH($O15,기간별손익계산서!$Q:$Q,0),1),0)</f>
        <v>2138504857</v>
      </c>
      <c r="D15" s="111">
        <f>IFERROR(INDEX(기간별손익계산서!$C:$N,MATCH($O15,기간별손익계산서!$Q:$Q,0),2),0)</f>
        <v>2234084333</v>
      </c>
      <c r="E15" s="111">
        <f>IFERROR(INDEX(기간별손익계산서!$C:$N,MATCH($O15,기간별손익계산서!$Q:$Q,0),3),0)</f>
        <v>2477723821</v>
      </c>
      <c r="F15" s="111">
        <f>IFERROR(INDEX(기간별손익계산서!$C:$N,MATCH($O15,기간별손익계산서!$Q:$Q,0),4),0)</f>
        <v>2748658932</v>
      </c>
      <c r="G15" s="111">
        <f>IFERROR(INDEX(기간별손익계산서!$C:$N,MATCH($O15,기간별손익계산서!$Q:$Q,0),5),0)</f>
        <v>2688555911</v>
      </c>
      <c r="H15" s="111">
        <f>IFERROR(INDEX(기간별손익계산서!$C:$N,MATCH($O15,기간별손익계산서!$Q:$Q,0),6),0)</f>
        <v>2999324483</v>
      </c>
      <c r="I15" s="95">
        <f>IFERROR(INDEX(기간별손익계산서!$C:$N,MATCH($O15,기간별손익계산서!$Q:$Q,0),MONTH(EOMONTH(인덱스!$K$1,-1))),0)</f>
        <v>2999324483</v>
      </c>
      <c r="J15" s="95">
        <f>IFERROR(INDEX(기간별손익계산서!$C:$N,MATCH($O15,기간별손익계산서!$Q:$Q,0),MONTH(인덱스!$K$1)),0)</f>
        <v>2863615436</v>
      </c>
      <c r="K15" s="95">
        <f t="shared" si="0"/>
        <v>-135709047</v>
      </c>
      <c r="L15" s="109"/>
      <c r="M15" s="110"/>
      <c r="N15" t="str">
        <f t="shared" si="1"/>
        <v>기말상품재고액</v>
      </c>
      <c r="O15" t="str">
        <f>N15&amp;"|"&amp;COUNTIF($N$7:N15,N15)</f>
        <v>기말상품재고액|1</v>
      </c>
      <c r="P15" s="93" t="str">
        <f>IF($A15="","",IF(ISNUMBER(MATCH($O15,기간별손익계산서!$Q:$Q,0)),"✓ 일치","⚠ 확인필요"))</f>
        <v>✓ 일치</v>
      </c>
      <c r="Q15" s="94">
        <f t="shared" si="2"/>
        <v>-4.5246537268371974E-2</v>
      </c>
    </row>
    <row r="16" spans="1:17" ht="24" customHeight="1">
      <c r="A16" s="74" t="s">
        <v>139</v>
      </c>
      <c r="B16" s="91">
        <f>IFERROR(INDEX(기간별손익계산서!$B:$B,MATCH($O16,기간별손익계산서!$Q:$Q,0)),0)</f>
        <v>3869152188</v>
      </c>
      <c r="C16" s="91">
        <f>IFERROR(INDEX(기간별손익계산서!$C:$N,MATCH($O16,기간별손익계산서!$Q:$Q,0),1),0)</f>
        <v>495595384</v>
      </c>
      <c r="D16" s="91">
        <f>IFERROR(INDEX(기간별손익계산서!$C:$N,MATCH($O16,기간별손익계산서!$Q:$Q,0),2),0)</f>
        <v>461426751</v>
      </c>
      <c r="E16" s="91">
        <f>IFERROR(INDEX(기간별손익계산서!$C:$N,MATCH($O16,기간별손익계산서!$Q:$Q,0),3),0)</f>
        <v>734610754</v>
      </c>
      <c r="F16" s="91">
        <f>IFERROR(INDEX(기간별손익계산서!$C:$N,MATCH($O16,기간별손익계산서!$Q:$Q,0),4),0)</f>
        <v>647690675</v>
      </c>
      <c r="G16" s="91">
        <f>IFERROR(INDEX(기간별손익계산서!$C:$N,MATCH($O16,기간별손익계산서!$Q:$Q,0),5),0)</f>
        <v>540801780</v>
      </c>
      <c r="H16" s="91">
        <f>IFERROR(INDEX(기간별손익계산서!$C:$N,MATCH($O16,기간별손익계산서!$Q:$Q,0),6),0)</f>
        <v>531638270</v>
      </c>
      <c r="I16" s="91">
        <f>IFERROR(INDEX(기간별손익계산서!$C:$N,MATCH($O16,기간별손익계산서!$Q:$Q,0),MONTH(EOMONTH(인덱스!$K$1,-1))),0)</f>
        <v>531638270</v>
      </c>
      <c r="J16" s="91">
        <f>IFERROR(INDEX(기간별손익계산서!$C:$N,MATCH($O16,기간별손익계산서!$Q:$Q,0),MONTH(인덱스!$K$1)),0)</f>
        <v>457388574</v>
      </c>
      <c r="K16" s="91">
        <f t="shared" si="0"/>
        <v>-74249696</v>
      </c>
      <c r="L16" s="106" t="str">
        <f t="shared" ref="L16:L54" si="3">IF(J16-I16&gt;0,"증가",IF(J16-I16=0,"변동없음","감소"))</f>
        <v>감소</v>
      </c>
      <c r="M16" s="107"/>
      <c r="N16" t="str">
        <f t="shared" si="1"/>
        <v>Ⅲ.매출총이익</v>
      </c>
      <c r="O16" t="str">
        <f>N16&amp;"|"&amp;COUNTIF($N$7:N16,N16)</f>
        <v>Ⅲ.매출총이익|1</v>
      </c>
      <c r="P16" s="93" t="str">
        <f>IF($A16="","",IF(ISNUMBER(MATCH($O16,기간별손익계산서!$Q:$Q,0)),"✓ 일치","⚠ 확인필요"))</f>
        <v>✓ 일치</v>
      </c>
      <c r="Q16" s="94">
        <f t="shared" si="2"/>
        <v>-0.13966206006952811</v>
      </c>
    </row>
    <row r="17" spans="1:17" ht="22.5" customHeight="1">
      <c r="A17" s="105" t="s">
        <v>140</v>
      </c>
      <c r="B17" s="112">
        <f>IFERROR(INDEX(기간별손익계산서!$B:$B,MATCH($O17,기간별손익계산서!$Q:$Q,0)),0)</f>
        <v>2161095954</v>
      </c>
      <c r="C17" s="112">
        <f>IFERROR(INDEX(기간별손익계산서!$C:$N,MATCH($O17,기간별손익계산서!$Q:$Q,0),1),0)</f>
        <v>293673138</v>
      </c>
      <c r="D17" s="112">
        <f>IFERROR(INDEX(기간별손익계산서!$C:$N,MATCH($O17,기간별손익계산서!$Q:$Q,0),2),0)</f>
        <v>283436039</v>
      </c>
      <c r="E17" s="112">
        <f>IFERROR(INDEX(기간별손익계산서!$C:$N,MATCH($O17,기간별손익계산서!$Q:$Q,0),3),0)</f>
        <v>285953340</v>
      </c>
      <c r="F17" s="112">
        <f>IFERROR(INDEX(기간별손익계산서!$C:$N,MATCH($O17,기간별손익계산서!$Q:$Q,0),4),0)</f>
        <v>330827620</v>
      </c>
      <c r="G17" s="112">
        <f>IFERROR(INDEX(기간별손익계산서!$C:$N,MATCH($O17,기간별손익계산서!$Q:$Q,0),5),0)</f>
        <v>296592907</v>
      </c>
      <c r="H17" s="112">
        <f>IFERROR(INDEX(기간별손익계산서!$C:$N,MATCH($O17,기간별손익계산서!$Q:$Q,0),6),0)</f>
        <v>380134204</v>
      </c>
      <c r="I17" s="91">
        <f>IFERROR(INDEX(기간별손익계산서!$C:$N,MATCH($O17,기간별손익계산서!$Q:$Q,0),MONTH(EOMONTH(인덱스!$K$1,-1))),0)</f>
        <v>380134204</v>
      </c>
      <c r="J17" s="91">
        <f>IFERROR(INDEX(기간별손익계산서!$C:$N,MATCH($O17,기간별손익계산서!$Q:$Q,0),MONTH(인덱스!$K$1)),0)</f>
        <v>290478706</v>
      </c>
      <c r="K17" s="91">
        <f t="shared" si="0"/>
        <v>-89655498</v>
      </c>
      <c r="L17" s="106" t="str">
        <f t="shared" si="3"/>
        <v>감소</v>
      </c>
      <c r="M17" s="107"/>
      <c r="N17" t="str">
        <f t="shared" si="1"/>
        <v>Ⅳ.판매관리비</v>
      </c>
      <c r="O17" t="str">
        <f>N17&amp;"|"&amp;COUNTIF($N$7:N17,N17)</f>
        <v>Ⅳ.판매관리비|1</v>
      </c>
      <c r="P17" s="93" t="str">
        <f>IF($A17="","",IF(ISNUMBER(MATCH($O17,기간별손익계산서!$Q:$Q,0)),"✓ 일치","⚠ 확인필요"))</f>
        <v>✓ 일치</v>
      </c>
      <c r="Q17" s="94">
        <f t="shared" si="2"/>
        <v>-0.23585222549455193</v>
      </c>
    </row>
    <row r="18" spans="1:17" ht="22.5" customHeight="1">
      <c r="A18" s="108" t="s">
        <v>142</v>
      </c>
      <c r="B18" s="111">
        <f>IFERROR(INDEX(기간별손익계산서!$B:$B,MATCH($O18,기간별손익계산서!$Q:$Q,0)),0)</f>
        <v>1229848831</v>
      </c>
      <c r="C18" s="111">
        <f>IFERROR(INDEX(기간별손익계산서!$C:$N,MATCH($O18,기간별손익계산서!$Q:$Q,0),1),0)</f>
        <v>165116668</v>
      </c>
      <c r="D18" s="111">
        <f>IFERROR(INDEX(기간별손익계산서!$C:$N,MATCH($O18,기간별손익계산서!$Q:$Q,0),2),0)</f>
        <v>165116668</v>
      </c>
      <c r="E18" s="111">
        <f>IFERROR(INDEX(기간별손익계산서!$C:$N,MATCH($O18,기간별손익계산서!$Q:$Q,0),3),0)</f>
        <v>164298981</v>
      </c>
      <c r="F18" s="111">
        <f>IFERROR(INDEX(기간별손익계산서!$C:$N,MATCH($O18,기간별손익계산서!$Q:$Q,0),4),0)</f>
        <v>211035001</v>
      </c>
      <c r="G18" s="111">
        <f>IFERROR(INDEX(기간별손익계산서!$C:$N,MATCH($O18,기간별손익계산서!$Q:$Q,0),5),0)</f>
        <v>178361269</v>
      </c>
      <c r="H18" s="111">
        <f>IFERROR(INDEX(기간별손익계산서!$C:$N,MATCH($O18,기간별손익계산서!$Q:$Q,0),6),0)</f>
        <v>177293452</v>
      </c>
      <c r="I18" s="95">
        <f>IFERROR(INDEX(기간별손익계산서!$C:$N,MATCH($O18,기간별손익계산서!$Q:$Q,0),MONTH(EOMONTH(인덱스!$K$1,-1))),0)</f>
        <v>177293452</v>
      </c>
      <c r="J18" s="95">
        <f>IFERROR(INDEX(기간별손익계산서!$C:$N,MATCH($O18,기간별손익계산서!$Q:$Q,0),MONTH(인덱스!$K$1)),0)</f>
        <v>168626792</v>
      </c>
      <c r="K18" s="95">
        <f t="shared" si="0"/>
        <v>-8666660</v>
      </c>
      <c r="L18" s="113" t="str">
        <f t="shared" si="3"/>
        <v>감소</v>
      </c>
      <c r="M18" s="114" t="s">
        <v>193</v>
      </c>
      <c r="N18" t="str">
        <f t="shared" si="1"/>
        <v>직원급여</v>
      </c>
      <c r="O18" t="str">
        <f>N18&amp;"|"&amp;COUNTIF($N$7:N18,N18)</f>
        <v>직원급여|1</v>
      </c>
      <c r="P18" s="93" t="str">
        <f>IF($A18="","",IF(ISNUMBER(MATCH($O18,기간별손익계산서!$Q:$Q,0)),"✓ 일치","⚠ 확인필요"))</f>
        <v>✓ 일치</v>
      </c>
      <c r="Q18" s="94">
        <f t="shared" si="2"/>
        <v>-4.8883136417243428E-2</v>
      </c>
    </row>
    <row r="19" spans="1:17" ht="22.5" customHeight="1">
      <c r="A19" s="108" t="s">
        <v>143</v>
      </c>
      <c r="B19" s="111">
        <f>IFERROR(INDEX(기간별손익계산서!$B:$B,MATCH($O19,기간별손익계산서!$Q:$Q,0)),0)</f>
        <v>0</v>
      </c>
      <c r="C19" s="111">
        <f>IFERROR(INDEX(기간별손익계산서!$C:$N,MATCH($O19,기간별손익계산서!$Q:$Q,0),1),0)</f>
        <v>0</v>
      </c>
      <c r="D19" s="111">
        <f>IFERROR(INDEX(기간별손익계산서!$C:$N,MATCH($O19,기간별손익계산서!$Q:$Q,0),2),0)</f>
        <v>0</v>
      </c>
      <c r="E19" s="111">
        <f>IFERROR(INDEX(기간별손익계산서!$C:$N,MATCH($O19,기간별손익계산서!$Q:$Q,0),3),0)</f>
        <v>0</v>
      </c>
      <c r="F19" s="111">
        <f>IFERROR(INDEX(기간별손익계산서!$C:$N,MATCH($O19,기간별손익계산서!$Q:$Q,0),4),0)</f>
        <v>0</v>
      </c>
      <c r="G19" s="111">
        <f>IFERROR(INDEX(기간별손익계산서!$C:$N,MATCH($O19,기간별손익계산서!$Q:$Q,0),5),0)</f>
        <v>0</v>
      </c>
      <c r="H19" s="111">
        <f>IFERROR(INDEX(기간별손익계산서!$C:$N,MATCH($O19,기간별손익계산서!$Q:$Q,0),6),0)</f>
        <v>0</v>
      </c>
      <c r="I19" s="95">
        <f>IFERROR(INDEX(기간별손익계산서!$C:$N,MATCH($O19,기간별손익계산서!$Q:$Q,0),MONTH(EOMONTH(인덱스!$K$1,-1))),0)</f>
        <v>0</v>
      </c>
      <c r="J19" s="95">
        <f>IFERROR(INDEX(기간별손익계산서!$C:$N,MATCH($O19,기간별손익계산서!$Q:$Q,0),MONTH(인덱스!$K$1)),0)</f>
        <v>0</v>
      </c>
      <c r="K19" s="95">
        <f t="shared" si="0"/>
        <v>0</v>
      </c>
      <c r="L19" s="113" t="str">
        <f t="shared" si="3"/>
        <v>변동없음</v>
      </c>
      <c r="M19" s="115"/>
      <c r="N19" t="str">
        <f t="shared" si="1"/>
        <v>상여금</v>
      </c>
      <c r="O19" t="str">
        <f>N19&amp;"|"&amp;COUNTIF($N$7:N19,N19)</f>
        <v>상여금|1</v>
      </c>
      <c r="P19" s="93" t="str">
        <f>IF($A19="","",IF(ISNUMBER(MATCH($O19,기간별손익계산서!$Q:$Q,0)),"✓ 일치","⚠ 확인필요"))</f>
        <v>⚠ 확인필요</v>
      </c>
      <c r="Q19" s="94" t="str">
        <f t="shared" si="2"/>
        <v/>
      </c>
    </row>
    <row r="20" spans="1:17" ht="22.5" customHeight="1">
      <c r="A20" s="108" t="s">
        <v>145</v>
      </c>
      <c r="B20" s="111">
        <f>IFERROR(INDEX(기간별손익계산서!$B:$B,MATCH($O20,기간별손익계산서!$Q:$Q,0)),0)</f>
        <v>88091340</v>
      </c>
      <c r="C20" s="111">
        <f>IFERROR(INDEX(기간별손익계산서!$C:$N,MATCH($O20,기간별손익계산서!$Q:$Q,0),1),0)</f>
        <v>0</v>
      </c>
      <c r="D20" s="111">
        <f>IFERROR(INDEX(기간별손익계산서!$C:$N,MATCH($O20,기간별손익계산서!$Q:$Q,0),2),0)</f>
        <v>0</v>
      </c>
      <c r="E20" s="111">
        <f>IFERROR(INDEX(기간별손익계산서!$C:$N,MATCH($O20,기간별손익계산서!$Q:$Q,0),3),0)</f>
        <v>2417000</v>
      </c>
      <c r="F20" s="111">
        <f>IFERROR(INDEX(기간별손익계산서!$C:$N,MATCH($O20,기간별손익계산서!$Q:$Q,0),4),0)</f>
        <v>606500</v>
      </c>
      <c r="G20" s="111">
        <f>IFERROR(INDEX(기간별손익계산서!$C:$N,MATCH($O20,기간별손익계산서!$Q:$Q,0),5),0)</f>
        <v>0</v>
      </c>
      <c r="H20" s="111">
        <f>IFERROR(INDEX(기간별손익계산서!$C:$N,MATCH($O20,기간별손익계산서!$Q:$Q,0),6),0)</f>
        <v>85067840</v>
      </c>
      <c r="I20" s="95">
        <f>IFERROR(INDEX(기간별손익계산서!$C:$N,MATCH($O20,기간별손익계산서!$Q:$Q,0),MONTH(EOMONTH(인덱스!$K$1,-1))),0)</f>
        <v>85067840</v>
      </c>
      <c r="J20" s="95">
        <f>IFERROR(INDEX(기간별손익계산서!$C:$N,MATCH($O20,기간별손익계산서!$Q:$Q,0),MONTH(인덱스!$K$1)),0)</f>
        <v>0</v>
      </c>
      <c r="K20" s="95">
        <f t="shared" si="0"/>
        <v>-85067840</v>
      </c>
      <c r="L20" s="113" t="str">
        <f t="shared" si="3"/>
        <v>감소</v>
      </c>
      <c r="M20" s="114" t="s">
        <v>194</v>
      </c>
      <c r="N20" t="str">
        <f t="shared" si="1"/>
        <v>퇴직급여</v>
      </c>
      <c r="O20" t="str">
        <f>N20&amp;"|"&amp;COUNTIF($N$7:N20,N20)</f>
        <v>퇴직급여|1</v>
      </c>
      <c r="P20" s="93" t="str">
        <f>IF($A20="","",IF(ISNUMBER(MATCH($O20,기간별손익계산서!$Q:$Q,0)),"✓ 일치","⚠ 확인필요"))</f>
        <v>✓ 일치</v>
      </c>
      <c r="Q20" s="94">
        <f t="shared" si="2"/>
        <v>-1</v>
      </c>
    </row>
    <row r="21" spans="1:17" ht="22.5" customHeight="1">
      <c r="A21" s="108" t="s">
        <v>146</v>
      </c>
      <c r="B21" s="111">
        <f>IFERROR(INDEX(기간별손익계산서!$B:$B,MATCH($O21,기간별손익계산서!$Q:$Q,0)),0)</f>
        <v>110546776</v>
      </c>
      <c r="C21" s="111">
        <f>IFERROR(INDEX(기간별손익계산서!$C:$N,MATCH($O21,기간별손익계산서!$Q:$Q,0),1),0)</f>
        <v>13491727</v>
      </c>
      <c r="D21" s="111">
        <f>IFERROR(INDEX(기간별손익계산서!$C:$N,MATCH($O21,기간별손익계산서!$Q:$Q,0),2),0)</f>
        <v>15577491</v>
      </c>
      <c r="E21" s="111">
        <f>IFERROR(INDEX(기간별손익계산서!$C:$N,MATCH($O21,기간별손익계산서!$Q:$Q,0),3),0)</f>
        <v>13132809</v>
      </c>
      <c r="F21" s="111">
        <f>IFERROR(INDEX(기간별손익계산서!$C:$N,MATCH($O21,기간별손익계산서!$Q:$Q,0),4),0)</f>
        <v>14320940</v>
      </c>
      <c r="G21" s="111">
        <f>IFERROR(INDEX(기간별손익계산서!$C:$N,MATCH($O21,기간별손익계산서!$Q:$Q,0),5),0)</f>
        <v>20159822</v>
      </c>
      <c r="H21" s="111">
        <f>IFERROR(INDEX(기간별손익계산서!$C:$N,MATCH($O21,기간별손익계산서!$Q:$Q,0),6),0)</f>
        <v>15736532</v>
      </c>
      <c r="I21" s="95">
        <f>IFERROR(INDEX(기간별손익계산서!$C:$N,MATCH($O21,기간별손익계산서!$Q:$Q,0),MONTH(EOMONTH(인덱스!$K$1,-1))),0)</f>
        <v>15736532</v>
      </c>
      <c r="J21" s="95">
        <f>IFERROR(INDEX(기간별손익계산서!$C:$N,MATCH($O21,기간별손익계산서!$Q:$Q,0),MONTH(인덱스!$K$1)),0)</f>
        <v>18127455</v>
      </c>
      <c r="K21" s="95">
        <f t="shared" si="0"/>
        <v>2390923</v>
      </c>
      <c r="L21" s="113" t="str">
        <f t="shared" si="3"/>
        <v>증가</v>
      </c>
      <c r="M21" s="115" t="s">
        <v>195</v>
      </c>
      <c r="N21" t="str">
        <f t="shared" si="1"/>
        <v>복리후생비</v>
      </c>
      <c r="O21" t="str">
        <f>N21&amp;"|"&amp;COUNTIF($N$7:N21,N21)</f>
        <v>복리후생비|1</v>
      </c>
      <c r="P21" s="93" t="str">
        <f>IF($A21="","",IF(ISNUMBER(MATCH($O21,기간별손익계산서!$Q:$Q,0)),"✓ 일치","⚠ 확인필요"))</f>
        <v>✓ 일치</v>
      </c>
      <c r="Q21" s="94">
        <f t="shared" si="2"/>
        <v>0.15193455584750185</v>
      </c>
    </row>
    <row r="22" spans="1:17" ht="22.5" customHeight="1">
      <c r="A22" s="108" t="s">
        <v>147</v>
      </c>
      <c r="B22" s="111">
        <f>IFERROR(INDEX(기간별손익계산서!$B:$B,MATCH($O22,기간별손익계산서!$Q:$Q,0)),0)</f>
        <v>7859988</v>
      </c>
      <c r="C22" s="111">
        <f>IFERROR(INDEX(기간별손익계산서!$C:$N,MATCH($O22,기간별손익계산서!$Q:$Q,0),1),0)</f>
        <v>1448900</v>
      </c>
      <c r="D22" s="111">
        <f>IFERROR(INDEX(기간별손익계산서!$C:$N,MATCH($O22,기간별손익계산서!$Q:$Q,0),2),0)</f>
        <v>380591</v>
      </c>
      <c r="E22" s="111">
        <f>IFERROR(INDEX(기간별손익계산서!$C:$N,MATCH($O22,기간별손익계산서!$Q:$Q,0),3),0)</f>
        <v>910000</v>
      </c>
      <c r="F22" s="111">
        <f>IFERROR(INDEX(기간별손익계산서!$C:$N,MATCH($O22,기간별손익계산서!$Q:$Q,0),4),0)</f>
        <v>2808322</v>
      </c>
      <c r="G22" s="111">
        <f>IFERROR(INDEX(기간별손익계산서!$C:$N,MATCH($O22,기간별손익계산서!$Q:$Q,0),5),0)</f>
        <v>925289</v>
      </c>
      <c r="H22" s="111">
        <f>IFERROR(INDEX(기간별손익계산서!$C:$N,MATCH($O22,기간별손익계산서!$Q:$Q,0),6),0)</f>
        <v>750486</v>
      </c>
      <c r="I22" s="95">
        <f>IFERROR(INDEX(기간별손익계산서!$C:$N,MATCH($O22,기간별손익계산서!$Q:$Q,0),MONTH(EOMONTH(인덱스!$K$1,-1))),0)</f>
        <v>750486</v>
      </c>
      <c r="J22" s="95">
        <f>IFERROR(INDEX(기간별손익계산서!$C:$N,MATCH($O22,기간별손익계산서!$Q:$Q,0),MONTH(인덱스!$K$1)),0)</f>
        <v>636400</v>
      </c>
      <c r="K22" s="95">
        <f t="shared" si="0"/>
        <v>-114086</v>
      </c>
      <c r="L22" s="113" t="str">
        <f t="shared" si="3"/>
        <v>감소</v>
      </c>
      <c r="M22" s="115" t="s">
        <v>196</v>
      </c>
      <c r="N22" t="str">
        <f t="shared" si="1"/>
        <v>여비교통비</v>
      </c>
      <c r="O22" t="str">
        <f>N22&amp;"|"&amp;COUNTIF($N$7:N22,N22)</f>
        <v>여비교통비|1</v>
      </c>
      <c r="P22" s="93" t="str">
        <f>IF($A22="","",IF(ISNUMBER(MATCH($O22,기간별손익계산서!$Q:$Q,0)),"✓ 일치","⚠ 확인필요"))</f>
        <v>✓ 일치</v>
      </c>
      <c r="Q22" s="94">
        <f t="shared" si="2"/>
        <v>-0.15201616019486039</v>
      </c>
    </row>
    <row r="23" spans="1:17" ht="22.5" customHeight="1">
      <c r="A23" s="108" t="s">
        <v>148</v>
      </c>
      <c r="B23" s="111">
        <f>IFERROR(INDEX(기간별손익계산서!$B:$B,MATCH($O23,기간별손익계산서!$Q:$Q,0)),0)</f>
        <v>43323349</v>
      </c>
      <c r="C23" s="111">
        <f>IFERROR(INDEX(기간별손익계산서!$C:$N,MATCH($O23,기간별손익계산서!$Q:$Q,0),1),0)</f>
        <v>2851000</v>
      </c>
      <c r="D23" s="111">
        <f>IFERROR(INDEX(기간별손익계산서!$C:$N,MATCH($O23,기간별손익계산서!$Q:$Q,0),2),0)</f>
        <v>18464450</v>
      </c>
      <c r="E23" s="111">
        <f>IFERROR(INDEX(기간별손익계산서!$C:$N,MATCH($O23,기간별손익계산서!$Q:$Q,0),3),0)</f>
        <v>3232900</v>
      </c>
      <c r="F23" s="111">
        <f>IFERROR(INDEX(기간별손익계산서!$C:$N,MATCH($O23,기간별손익계산서!$Q:$Q,0),4),0)</f>
        <v>5015657</v>
      </c>
      <c r="G23" s="111">
        <f>IFERROR(INDEX(기간별손익계산서!$C:$N,MATCH($O23,기간별손익계산서!$Q:$Q,0),5),0)</f>
        <v>3412700</v>
      </c>
      <c r="H23" s="111">
        <f>IFERROR(INDEX(기간별손익계산서!$C:$N,MATCH($O23,기간별손익계산서!$Q:$Q,0),6),0)</f>
        <v>5154220</v>
      </c>
      <c r="I23" s="95">
        <f>IFERROR(INDEX(기간별손익계산서!$C:$N,MATCH($O23,기간별손익계산서!$Q:$Q,0),MONTH(EOMONTH(인덱스!$K$1,-1))),0)</f>
        <v>5154220</v>
      </c>
      <c r="J23" s="95">
        <f>IFERROR(INDEX(기간별손익계산서!$C:$N,MATCH($O23,기간별손익계산서!$Q:$Q,0),MONTH(인덱스!$K$1)),0)</f>
        <v>5192422</v>
      </c>
      <c r="K23" s="95">
        <f t="shared" si="0"/>
        <v>38202</v>
      </c>
      <c r="L23" s="113" t="str">
        <f t="shared" si="3"/>
        <v>증가</v>
      </c>
      <c r="M23" s="115"/>
      <c r="N23" t="str">
        <f t="shared" si="1"/>
        <v>접대비</v>
      </c>
      <c r="O23" t="str">
        <f>N23&amp;"|"&amp;COUNTIF($N$7:N23,N23)</f>
        <v>접대비|1</v>
      </c>
      <c r="P23" s="93" t="str">
        <f>IF($A23="","",IF(ISNUMBER(MATCH($O23,기간별손익계산서!$Q:$Q,0)),"✓ 일치","⚠ 확인필요"))</f>
        <v>✓ 일치</v>
      </c>
      <c r="Q23" s="94">
        <f t="shared" si="2"/>
        <v>7.4117907268219053E-3</v>
      </c>
    </row>
    <row r="24" spans="1:17" ht="22.5" customHeight="1">
      <c r="A24" s="108" t="s">
        <v>149</v>
      </c>
      <c r="B24" s="111">
        <f>IFERROR(INDEX(기간별손익계산서!$B:$B,MATCH($O24,기간별손익계산서!$Q:$Q,0)),0)</f>
        <v>10884279</v>
      </c>
      <c r="C24" s="111">
        <f>IFERROR(INDEX(기간별손익계산서!$C:$N,MATCH($O24,기간별손익계산서!$Q:$Q,0),1),0)</f>
        <v>1553614</v>
      </c>
      <c r="D24" s="111">
        <f>IFERROR(INDEX(기간별손익계산서!$C:$N,MATCH($O24,기간별손익계산서!$Q:$Q,0),2),0)</f>
        <v>1548550</v>
      </c>
      <c r="E24" s="111">
        <f>IFERROR(INDEX(기간별손익계산서!$C:$N,MATCH($O24,기간별손익계산서!$Q:$Q,0),3),0)</f>
        <v>1543792</v>
      </c>
      <c r="F24" s="111">
        <f>IFERROR(INDEX(기간별손익계산서!$C:$N,MATCH($O24,기간별손익계산서!$Q:$Q,0),4),0)</f>
        <v>1551170</v>
      </c>
      <c r="G24" s="111">
        <f>IFERROR(INDEX(기간별손익계산서!$C:$N,MATCH($O24,기간별손익계산서!$Q:$Q,0),5),0)</f>
        <v>1610738</v>
      </c>
      <c r="H24" s="111">
        <f>IFERROR(INDEX(기간별손익계산서!$C:$N,MATCH($O24,기간별손익계산서!$Q:$Q,0),6),0)</f>
        <v>1566533</v>
      </c>
      <c r="I24" s="95">
        <f>IFERROR(INDEX(기간별손익계산서!$C:$N,MATCH($O24,기간별손익계산서!$Q:$Q,0),MONTH(EOMONTH(인덱스!$K$1,-1))),0)</f>
        <v>1566533</v>
      </c>
      <c r="J24" s="95">
        <f>IFERROR(INDEX(기간별손익계산서!$C:$N,MATCH($O24,기간별손익계산서!$Q:$Q,0),MONTH(인덱스!$K$1)),0)</f>
        <v>1509882</v>
      </c>
      <c r="K24" s="95">
        <f t="shared" si="0"/>
        <v>-56651</v>
      </c>
      <c r="L24" s="113" t="str">
        <f t="shared" si="3"/>
        <v>감소</v>
      </c>
      <c r="M24" s="115" t="s">
        <v>197</v>
      </c>
      <c r="N24" t="str">
        <f t="shared" si="1"/>
        <v>통신비</v>
      </c>
      <c r="O24" t="str">
        <f>N24&amp;"|"&amp;COUNTIF($N$7:N24,N24)</f>
        <v>통신비|1</v>
      </c>
      <c r="P24" s="93" t="str">
        <f>IF($A24="","",IF(ISNUMBER(MATCH($O24,기간별손익계산서!$Q:$Q,0)),"✓ 일치","⚠ 확인필요"))</f>
        <v>✓ 일치</v>
      </c>
      <c r="Q24" s="94">
        <f t="shared" si="2"/>
        <v>-3.6163298187781551E-2</v>
      </c>
    </row>
    <row r="25" spans="1:17" ht="22.5" customHeight="1">
      <c r="A25" s="108" t="s">
        <v>150</v>
      </c>
      <c r="B25" s="111">
        <f>IFERROR(INDEX(기간별손익계산서!$B:$B,MATCH($O25,기간별손익계산서!$Q:$Q,0)),0)</f>
        <v>658900</v>
      </c>
      <c r="C25" s="111">
        <f>IFERROR(INDEX(기간별손익계산서!$C:$N,MATCH($O25,기간별손익계산서!$Q:$Q,0),1),0)</f>
        <v>416690</v>
      </c>
      <c r="D25" s="111">
        <f>IFERROR(INDEX(기간별손익계산서!$C:$N,MATCH($O25,기간별손익계산서!$Q:$Q,0),2),0)</f>
        <v>36590</v>
      </c>
      <c r="E25" s="111">
        <f>IFERROR(INDEX(기간별손익계산서!$C:$N,MATCH($O25,기간별손익계산서!$Q:$Q,0),3),0)</f>
        <v>55710</v>
      </c>
      <c r="F25" s="111">
        <f>IFERROR(INDEX(기간별손익계산서!$C:$N,MATCH($O25,기간별손익계산서!$Q:$Q,0),4),0)</f>
        <v>31410</v>
      </c>
      <c r="G25" s="111">
        <f>IFERROR(INDEX(기간별손익계산서!$C:$N,MATCH($O25,기간별손익계산서!$Q:$Q,0),5),0)</f>
        <v>41020</v>
      </c>
      <c r="H25" s="111">
        <f>IFERROR(INDEX(기간별손익계산서!$C:$N,MATCH($O25,기간별손익계산서!$Q:$Q,0),6),0)</f>
        <v>30840</v>
      </c>
      <c r="I25" s="95">
        <f>IFERROR(INDEX(기간별손익계산서!$C:$N,MATCH($O25,기간별손익계산서!$Q:$Q,0),MONTH(EOMONTH(인덱스!$K$1,-1))),0)</f>
        <v>30840</v>
      </c>
      <c r="J25" s="95">
        <f>IFERROR(INDEX(기간별손익계산서!$C:$N,MATCH($O25,기간별손익계산서!$Q:$Q,0),MONTH(인덱스!$K$1)),0)</f>
        <v>46640</v>
      </c>
      <c r="K25" s="95">
        <f t="shared" si="0"/>
        <v>15800</v>
      </c>
      <c r="L25" s="113" t="str">
        <f t="shared" si="3"/>
        <v>증가</v>
      </c>
      <c r="M25" s="115" t="s">
        <v>198</v>
      </c>
      <c r="N25" t="str">
        <f t="shared" si="1"/>
        <v>수도광열비</v>
      </c>
      <c r="O25" t="str">
        <f>N25&amp;"|"&amp;COUNTIF($N$7:N25,N25)</f>
        <v>수도광열비|1</v>
      </c>
      <c r="P25" s="93" t="str">
        <f>IF($A25="","",IF(ISNUMBER(MATCH($O25,기간별손익계산서!$Q:$Q,0)),"✓ 일치","⚠ 확인필요"))</f>
        <v>✓ 일치</v>
      </c>
      <c r="Q25" s="94">
        <f t="shared" si="2"/>
        <v>0.51232166018158232</v>
      </c>
    </row>
    <row r="26" spans="1:17" ht="22.5" customHeight="1">
      <c r="A26" s="108" t="s">
        <v>151</v>
      </c>
      <c r="B26" s="111">
        <f>IFERROR(INDEX(기간별손익계산서!$B:$B,MATCH($O26,기간별손익계산서!$Q:$Q,0)),0)</f>
        <v>9937528</v>
      </c>
      <c r="C26" s="111">
        <f>IFERROR(INDEX(기간별손익계산서!$C:$N,MATCH($O26,기간별손익계산서!$Q:$Q,0),1),0)</f>
        <v>1750221</v>
      </c>
      <c r="D26" s="111">
        <f>IFERROR(INDEX(기간별손익계산서!$C:$N,MATCH($O26,기간별손익계산서!$Q:$Q,0),2),0)</f>
        <v>2188166</v>
      </c>
      <c r="E26" s="111">
        <f>IFERROR(INDEX(기간별손익계산서!$C:$N,MATCH($O26,기간별손익계산서!$Q:$Q,0),3),0)</f>
        <v>1608472</v>
      </c>
      <c r="F26" s="111">
        <f>IFERROR(INDEX(기간별손익계산서!$C:$N,MATCH($O26,기간별손익계산서!$Q:$Q,0),4),0)</f>
        <v>1205192</v>
      </c>
      <c r="G26" s="111">
        <f>IFERROR(INDEX(기간별손익계산서!$C:$N,MATCH($O26,기간별손익계산서!$Q:$Q,0),5),0)</f>
        <v>974835</v>
      </c>
      <c r="H26" s="111">
        <f>IFERROR(INDEX(기간별손익계산서!$C:$N,MATCH($O26,기간별손익계산서!$Q:$Q,0),6),0)</f>
        <v>958881</v>
      </c>
      <c r="I26" s="95">
        <f>IFERROR(INDEX(기간별손익계산서!$C:$N,MATCH($O26,기간별손익계산서!$Q:$Q,0),MONTH(EOMONTH(인덱스!$K$1,-1))),0)</f>
        <v>958881</v>
      </c>
      <c r="J26" s="95">
        <f>IFERROR(INDEX(기간별손익계산서!$C:$N,MATCH($O26,기간별손익계산서!$Q:$Q,0),MONTH(인덱스!$K$1)),0)</f>
        <v>1251761</v>
      </c>
      <c r="K26" s="95">
        <f t="shared" si="0"/>
        <v>292880</v>
      </c>
      <c r="L26" s="113" t="str">
        <f t="shared" si="3"/>
        <v>증가</v>
      </c>
      <c r="M26" s="115" t="s">
        <v>199</v>
      </c>
      <c r="N26" t="str">
        <f t="shared" si="1"/>
        <v>전력비</v>
      </c>
      <c r="O26" t="str">
        <f>N26&amp;"|"&amp;COUNTIF($N$7:N26,N26)</f>
        <v>전력비|1</v>
      </c>
      <c r="P26" s="93" t="str">
        <f>IF($A26="","",IF(ISNUMBER(MATCH($O26,기간별손익계산서!$Q:$Q,0)),"✓ 일치","⚠ 확인필요"))</f>
        <v>✓ 일치</v>
      </c>
      <c r="Q26" s="94">
        <f t="shared" si="2"/>
        <v>0.30543936108860226</v>
      </c>
    </row>
    <row r="27" spans="1:17" ht="23.25" customHeight="1">
      <c r="A27" s="108" t="s">
        <v>152</v>
      </c>
      <c r="B27" s="111">
        <f>IFERROR(INDEX(기간별손익계산서!$B:$B,MATCH($O27,기간별손익계산서!$Q:$Q,0)),0)</f>
        <v>61818760</v>
      </c>
      <c r="C27" s="111">
        <f>IFERROR(INDEX(기간별손익계산서!$C:$N,MATCH($O27,기간별손익계산서!$Q:$Q,0),1),0)</f>
        <v>13653600</v>
      </c>
      <c r="D27" s="111">
        <f>IFERROR(INDEX(기간별손익계산서!$C:$N,MATCH($O27,기간별손익계산서!$Q:$Q,0),2),0)</f>
        <v>6982700</v>
      </c>
      <c r="E27" s="111">
        <f>IFERROR(INDEX(기간별손익계산서!$C:$N,MATCH($O27,기간별손익계산서!$Q:$Q,0),3),0)</f>
        <v>7010270</v>
      </c>
      <c r="F27" s="111">
        <f>IFERROR(INDEX(기간별손익계산서!$C:$N,MATCH($O27,기간별손익계산서!$Q:$Q,0),4),0)</f>
        <v>7048100</v>
      </c>
      <c r="G27" s="111">
        <f>IFERROR(INDEX(기간별손익계산서!$C:$N,MATCH($O27,기간별손익계산서!$Q:$Q,0),5),0)</f>
        <v>7143360</v>
      </c>
      <c r="H27" s="111">
        <f>IFERROR(INDEX(기간별손익계산서!$C:$N,MATCH($O27,기간별손익계산서!$Q:$Q,0),6),0)</f>
        <v>10475430</v>
      </c>
      <c r="I27" s="95">
        <f>IFERROR(INDEX(기간별손익계산서!$C:$N,MATCH($O27,기간별손익계산서!$Q:$Q,0),MONTH(EOMONTH(인덱스!$K$1,-1))),0)</f>
        <v>10475430</v>
      </c>
      <c r="J27" s="95">
        <f>IFERROR(INDEX(기간별손익계산서!$C:$N,MATCH($O27,기간별손익계산서!$Q:$Q,0),MONTH(인덱스!$K$1)),0)</f>
        <v>9505300</v>
      </c>
      <c r="K27" s="95">
        <f t="shared" si="0"/>
        <v>-970130</v>
      </c>
      <c r="L27" s="113" t="str">
        <f t="shared" si="3"/>
        <v>감소</v>
      </c>
      <c r="M27" s="115" t="s">
        <v>200</v>
      </c>
      <c r="N27" t="str">
        <f t="shared" si="1"/>
        <v>세금과공과금</v>
      </c>
      <c r="O27" t="str">
        <f>N27&amp;"|"&amp;COUNTIF($N$7:N27,N27)</f>
        <v>세금과공과금|1</v>
      </c>
      <c r="P27" s="93" t="str">
        <f>IF($A27="","",IF(ISNUMBER(MATCH($O27,기간별손익계산서!$Q:$Q,0)),"✓ 일치","⚠ 확인필요"))</f>
        <v>✓ 일치</v>
      </c>
      <c r="Q27" s="94">
        <f t="shared" si="2"/>
        <v>-9.2610040828872892E-2</v>
      </c>
    </row>
    <row r="28" spans="1:17" ht="22.5" customHeight="1">
      <c r="A28" s="108" t="s">
        <v>153</v>
      </c>
      <c r="B28" s="111">
        <f>IFERROR(INDEX(기간별손익계산서!$B:$B,MATCH($O28,기간별손익계산서!$Q:$Q,0)),0)</f>
        <v>71625807</v>
      </c>
      <c r="C28" s="111">
        <f>IFERROR(INDEX(기간별손익계산서!$C:$N,MATCH($O28,기간별손익계산서!$Q:$Q,0),1),0)</f>
        <v>8823402</v>
      </c>
      <c r="D28" s="111">
        <f>IFERROR(INDEX(기간별손익계산서!$C:$N,MATCH($O28,기간별손익계산서!$Q:$Q,0),2),0)</f>
        <v>8823244</v>
      </c>
      <c r="E28" s="111">
        <f>IFERROR(INDEX(기간별손익계산서!$C:$N,MATCH($O28,기간별손익계산서!$Q:$Q,0),3),0)</f>
        <v>8823244</v>
      </c>
      <c r="F28" s="111">
        <f>IFERROR(INDEX(기간별손익계산서!$C:$N,MATCH($O28,기간별손익계산서!$Q:$Q,0),4),0)</f>
        <v>10167968</v>
      </c>
      <c r="G28" s="111">
        <f>IFERROR(INDEX(기간별손익계산서!$C:$N,MATCH($O28,기간별손익계산서!$Q:$Q,0),5),0)</f>
        <v>11662651</v>
      </c>
      <c r="H28" s="111">
        <f>IFERROR(INDEX(기간별손익계산서!$C:$N,MATCH($O28,기간별손익계산서!$Q:$Q,0),6),0)</f>
        <v>11662649</v>
      </c>
      <c r="I28" s="95">
        <f>IFERROR(INDEX(기간별손익계산서!$C:$N,MATCH($O28,기간별손익계산서!$Q:$Q,0),MONTH(EOMONTH(인덱스!$K$1,-1))),0)</f>
        <v>11662649</v>
      </c>
      <c r="J28" s="95">
        <f>IFERROR(INDEX(기간별손익계산서!$C:$N,MATCH($O28,기간별손익계산서!$Q:$Q,0),MONTH(인덱스!$K$1)),0)</f>
        <v>11662649</v>
      </c>
      <c r="K28" s="95">
        <f t="shared" si="0"/>
        <v>0</v>
      </c>
      <c r="L28" s="113" t="str">
        <f t="shared" si="3"/>
        <v>변동없음</v>
      </c>
      <c r="M28" s="115" t="s">
        <v>201</v>
      </c>
      <c r="N28" t="str">
        <f t="shared" si="1"/>
        <v>감가상각비</v>
      </c>
      <c r="O28" t="str">
        <f>N28&amp;"|"&amp;COUNTIF($N$7:N28,N28)</f>
        <v>감가상각비|1</v>
      </c>
      <c r="P28" s="93" t="str">
        <f>IF($A28="","",IF(ISNUMBER(MATCH($O28,기간별손익계산서!$Q:$Q,0)),"✓ 일치","⚠ 확인필요"))</f>
        <v>✓ 일치</v>
      </c>
      <c r="Q28" s="94">
        <f t="shared" si="2"/>
        <v>0</v>
      </c>
    </row>
    <row r="29" spans="1:17" ht="22.5" customHeight="1">
      <c r="A29" s="108" t="s">
        <v>154</v>
      </c>
      <c r="B29" s="111">
        <f>IFERROR(INDEX(기간별손익계산서!$B:$B,MATCH($O29,기간별손익계산서!$Q:$Q,0)),0)</f>
        <v>94500000</v>
      </c>
      <c r="C29" s="111">
        <f>IFERROR(INDEX(기간별손익계산서!$C:$N,MATCH($O29,기간별손익계산서!$Q:$Q,0),1),0)</f>
        <v>13500000</v>
      </c>
      <c r="D29" s="111">
        <f>IFERROR(INDEX(기간별손익계산서!$C:$N,MATCH($O29,기간별손익계산서!$Q:$Q,0),2),0)</f>
        <v>13500000</v>
      </c>
      <c r="E29" s="111">
        <f>IFERROR(INDEX(기간별손익계산서!$C:$N,MATCH($O29,기간별손익계산서!$Q:$Q,0),3),0)</f>
        <v>13500000</v>
      </c>
      <c r="F29" s="111">
        <f>IFERROR(INDEX(기간별손익계산서!$C:$N,MATCH($O29,기간별손익계산서!$Q:$Q,0),4),0)</f>
        <v>13500000</v>
      </c>
      <c r="G29" s="111">
        <f>IFERROR(INDEX(기간별손익계산서!$C:$N,MATCH($O29,기간별손익계산서!$Q:$Q,0),5),0)</f>
        <v>13500000</v>
      </c>
      <c r="H29" s="111">
        <f>IFERROR(INDEX(기간별손익계산서!$C:$N,MATCH($O29,기간별손익계산서!$Q:$Q,0),6),0)</f>
        <v>13500000</v>
      </c>
      <c r="I29" s="95">
        <f>IFERROR(INDEX(기간별손익계산서!$C:$N,MATCH($O29,기간별손익계산서!$Q:$Q,0),MONTH(EOMONTH(인덱스!$K$1,-1))),0)</f>
        <v>13500000</v>
      </c>
      <c r="J29" s="95">
        <f>IFERROR(INDEX(기간별손익계산서!$C:$N,MATCH($O29,기간별손익계산서!$Q:$Q,0),MONTH(인덱스!$K$1)),0)</f>
        <v>13500000</v>
      </c>
      <c r="K29" s="95">
        <f t="shared" si="0"/>
        <v>0</v>
      </c>
      <c r="L29" s="113" t="str">
        <f t="shared" si="3"/>
        <v>변동없음</v>
      </c>
      <c r="M29" s="115" t="s">
        <v>202</v>
      </c>
      <c r="N29" t="str">
        <f t="shared" si="1"/>
        <v>지급임차료</v>
      </c>
      <c r="O29" t="str">
        <f>N29&amp;"|"&amp;COUNTIF($N$7:N29,N29)</f>
        <v>지급임차료|1</v>
      </c>
      <c r="P29" s="93" t="str">
        <f>IF($A29="","",IF(ISNUMBER(MATCH($O29,기간별손익계산서!$Q:$Q,0)),"✓ 일치","⚠ 확인필요"))</f>
        <v>✓ 일치</v>
      </c>
      <c r="Q29" s="94">
        <f t="shared" si="2"/>
        <v>0</v>
      </c>
    </row>
    <row r="30" spans="1:17" ht="22.5" customHeight="1">
      <c r="A30" s="108" t="s">
        <v>155</v>
      </c>
      <c r="B30" s="111">
        <f>IFERROR(INDEX(기간별손익계산서!$B:$B,MATCH($O30,기간별손익계산서!$Q:$Q,0)),0)</f>
        <v>48751589</v>
      </c>
      <c r="C30" s="111">
        <f>IFERROR(INDEX(기간별손익계산서!$C:$N,MATCH($O30,기간별손익계산서!$Q:$Q,0),1),0)</f>
        <v>15663708</v>
      </c>
      <c r="D30" s="111">
        <f>IFERROR(INDEX(기간별손익계산서!$C:$N,MATCH($O30,기간별손익계산서!$Q:$Q,0),2),0)</f>
        <v>5397377</v>
      </c>
      <c r="E30" s="111">
        <f>IFERROR(INDEX(기간별손익계산서!$C:$N,MATCH($O30,기간별손익계산서!$Q:$Q,0),3),0)</f>
        <v>10141505</v>
      </c>
      <c r="F30" s="111">
        <f>IFERROR(INDEX(기간별손익계산서!$C:$N,MATCH($O30,기간별손익계산서!$Q:$Q,0),4),0)</f>
        <v>4254552</v>
      </c>
      <c r="G30" s="111">
        <f>IFERROR(INDEX(기간별손익계산서!$C:$N,MATCH($O30,기간별손익계산서!$Q:$Q,0),5),0)</f>
        <v>5965087</v>
      </c>
      <c r="H30" s="111">
        <f>IFERROR(INDEX(기간별손익계산서!$C:$N,MATCH($O30,기간별손익계산서!$Q:$Q,0),6),0)</f>
        <v>4097930</v>
      </c>
      <c r="I30" s="95">
        <f>IFERROR(INDEX(기간별손익계산서!$C:$N,MATCH($O30,기간별손익계산서!$Q:$Q,0),MONTH(EOMONTH(인덱스!$K$1,-1))),0)</f>
        <v>4097930</v>
      </c>
      <c r="J30" s="95">
        <f>IFERROR(INDEX(기간별손익계산서!$C:$N,MATCH($O30,기간별손익계산서!$Q:$Q,0),MONTH(인덱스!$K$1)),0)</f>
        <v>3231430</v>
      </c>
      <c r="K30" s="95">
        <f t="shared" si="0"/>
        <v>-866500</v>
      </c>
      <c r="L30" s="113" t="str">
        <f t="shared" si="3"/>
        <v>감소</v>
      </c>
      <c r="M30" s="115" t="s">
        <v>203</v>
      </c>
      <c r="N30" t="str">
        <f t="shared" si="1"/>
        <v>보험료</v>
      </c>
      <c r="O30" t="str">
        <f>N30&amp;"|"&amp;COUNTIF($N$7:N30,N30)</f>
        <v>보험료|1</v>
      </c>
      <c r="P30" s="93" t="str">
        <f>IF($A30="","",IF(ISNUMBER(MATCH($O30,기간별손익계산서!$Q:$Q,0)),"✓ 일치","⚠ 확인필요"))</f>
        <v>✓ 일치</v>
      </c>
      <c r="Q30" s="94">
        <f t="shared" si="2"/>
        <v>-0.2114482189788503</v>
      </c>
    </row>
    <row r="31" spans="1:17" ht="22.5" customHeight="1">
      <c r="A31" s="108" t="s">
        <v>156</v>
      </c>
      <c r="B31" s="111">
        <f>IFERROR(INDEX(기간별손익계산서!$B:$B,MATCH($O31,기간별손익계산서!$Q:$Q,0)),0)</f>
        <v>155024259</v>
      </c>
      <c r="C31" s="111">
        <f>IFERROR(INDEX(기간별손익계산서!$C:$N,MATCH($O31,기간별손익계산서!$Q:$Q,0),1),0)</f>
        <v>19333975</v>
      </c>
      <c r="D31" s="111">
        <f>IFERROR(INDEX(기간별손익계산서!$C:$N,MATCH($O31,기간별손익계산서!$Q:$Q,0),2),0)</f>
        <v>17873186</v>
      </c>
      <c r="E31" s="111">
        <f>IFERROR(INDEX(기간별손익계산서!$C:$N,MATCH($O31,기간별손익계산서!$Q:$Q,0),3),0)</f>
        <v>20774039</v>
      </c>
      <c r="F31" s="111">
        <f>IFERROR(INDEX(기간별손익계산서!$C:$N,MATCH($O31,기간별손익계산서!$Q:$Q,0),4),0)</f>
        <v>28171664</v>
      </c>
      <c r="G31" s="111">
        <f>IFERROR(INDEX(기간별손익계산서!$C:$N,MATCH($O31,기간별손익계산서!$Q:$Q,0),5),0)</f>
        <v>19541338</v>
      </c>
      <c r="H31" s="111">
        <f>IFERROR(INDEX(기간별손익계산서!$C:$N,MATCH($O31,기간별손익계산서!$Q:$Q,0),6),0)</f>
        <v>23455020</v>
      </c>
      <c r="I31" s="95">
        <f>IFERROR(INDEX(기간별손익계산서!$C:$N,MATCH($O31,기간별손익계산서!$Q:$Q,0),MONTH(EOMONTH(인덱스!$K$1,-1))),0)</f>
        <v>23455020</v>
      </c>
      <c r="J31" s="95">
        <f>IFERROR(INDEX(기간별손익계산서!$C:$N,MATCH($O31,기간별손익계산서!$Q:$Q,0),MONTH(인덱스!$K$1)),0)</f>
        <v>25875037</v>
      </c>
      <c r="K31" s="95">
        <f t="shared" si="0"/>
        <v>2420017</v>
      </c>
      <c r="L31" s="113" t="str">
        <f t="shared" si="3"/>
        <v>증가</v>
      </c>
      <c r="M31" s="115" t="s">
        <v>204</v>
      </c>
      <c r="N31" t="str">
        <f t="shared" si="1"/>
        <v>차량유지비</v>
      </c>
      <c r="O31" t="str">
        <f>N31&amp;"|"&amp;COUNTIF($N$7:N31,N31)</f>
        <v>차량유지비|1</v>
      </c>
      <c r="P31" s="93" t="str">
        <f>IF($A31="","",IF(ISNUMBER(MATCH($O31,기간별손익계산서!$Q:$Q,0)),"✓ 일치","⚠ 확인필요"))</f>
        <v>✓ 일치</v>
      </c>
      <c r="Q31" s="94">
        <f t="shared" si="2"/>
        <v>0.10317693184657271</v>
      </c>
    </row>
    <row r="32" spans="1:17" ht="22.5" customHeight="1">
      <c r="A32" s="108" t="s">
        <v>157</v>
      </c>
      <c r="B32" s="111">
        <f>IFERROR(INDEX(기간별손익계산서!$B:$B,MATCH($O32,기간별손익계산서!$Q:$Q,0)),0)</f>
        <v>11781419</v>
      </c>
      <c r="C32" s="111">
        <f>IFERROR(INDEX(기간별손익계산서!$C:$N,MATCH($O32,기간별손익계산서!$Q:$Q,0),1),0)</f>
        <v>1774119</v>
      </c>
      <c r="D32" s="111">
        <f>IFERROR(INDEX(기간별손익계산서!$C:$N,MATCH($O32,기간별손익계산서!$Q:$Q,0),2),0)</f>
        <v>1290155</v>
      </c>
      <c r="E32" s="111">
        <f>IFERROR(INDEX(기간별손익계산서!$C:$N,MATCH($O32,기간별손익계산서!$Q:$Q,0),3),0)</f>
        <v>1536718</v>
      </c>
      <c r="F32" s="111">
        <f>IFERROR(INDEX(기간별손익계산서!$C:$N,MATCH($O32,기간별손익계산서!$Q:$Q,0),4),0)</f>
        <v>2736936</v>
      </c>
      <c r="G32" s="111">
        <f>IFERROR(INDEX(기간별손익계산서!$C:$N,MATCH($O32,기간별손익계산서!$Q:$Q,0),5),0)</f>
        <v>1154891</v>
      </c>
      <c r="H32" s="111">
        <f>IFERROR(INDEX(기간별손익계산서!$C:$N,MATCH($O32,기간별손익계산서!$Q:$Q,0),6),0)</f>
        <v>2250264</v>
      </c>
      <c r="I32" s="95">
        <f>IFERROR(INDEX(기간별손익계산서!$C:$N,MATCH($O32,기간별손익계산서!$Q:$Q,0),MONTH(EOMONTH(인덱스!$K$1,-1))),0)</f>
        <v>2250264</v>
      </c>
      <c r="J32" s="95">
        <f>IFERROR(INDEX(기간별손익계산서!$C:$N,MATCH($O32,기간별손익계산서!$Q:$Q,0),MONTH(인덱스!$K$1)),0)</f>
        <v>1038336</v>
      </c>
      <c r="K32" s="95">
        <f t="shared" si="0"/>
        <v>-1211928</v>
      </c>
      <c r="L32" s="113" t="str">
        <f t="shared" si="3"/>
        <v>감소</v>
      </c>
      <c r="M32" s="115" t="s">
        <v>205</v>
      </c>
      <c r="N32" t="str">
        <f t="shared" si="1"/>
        <v>운반비</v>
      </c>
      <c r="O32" t="str">
        <f>N32&amp;"|"&amp;COUNTIF($N$7:N32,N32)</f>
        <v>운반비|1</v>
      </c>
      <c r="P32" s="93" t="str">
        <f>IF($A32="","",IF(ISNUMBER(MATCH($O32,기간별손익계산서!$Q:$Q,0)),"✓ 일치","⚠ 확인필요"))</f>
        <v>✓ 일치</v>
      </c>
      <c r="Q32" s="94">
        <f t="shared" si="2"/>
        <v>-0.53857147428035113</v>
      </c>
    </row>
    <row r="33" spans="1:17" ht="22.5" customHeight="1">
      <c r="A33" s="108" t="s">
        <v>158</v>
      </c>
      <c r="B33" s="111">
        <f>IFERROR(INDEX(기간별손익계산서!$B:$B,MATCH($O33,기간별손익계산서!$Q:$Q,0)),0)</f>
        <v>0</v>
      </c>
      <c r="C33" s="111">
        <f>IFERROR(INDEX(기간별손익계산서!$C:$N,MATCH($O33,기간별손익계산서!$Q:$Q,0),1),0)</f>
        <v>0</v>
      </c>
      <c r="D33" s="111">
        <f>IFERROR(INDEX(기간별손익계산서!$C:$N,MATCH($O33,기간별손익계산서!$Q:$Q,0),2),0)</f>
        <v>0</v>
      </c>
      <c r="E33" s="111">
        <f>IFERROR(INDEX(기간별손익계산서!$C:$N,MATCH($O33,기간별손익계산서!$Q:$Q,0),3),0)</f>
        <v>0</v>
      </c>
      <c r="F33" s="111">
        <f>IFERROR(INDEX(기간별손익계산서!$C:$N,MATCH($O33,기간별손익계산서!$Q:$Q,0),4),0)</f>
        <v>0</v>
      </c>
      <c r="G33" s="111">
        <f>IFERROR(INDEX(기간별손익계산서!$C:$N,MATCH($O33,기간별손익계산서!$Q:$Q,0),5),0)</f>
        <v>0</v>
      </c>
      <c r="H33" s="111">
        <f>IFERROR(INDEX(기간별손익계산서!$C:$N,MATCH($O33,기간별손익계산서!$Q:$Q,0),6),0)</f>
        <v>0</v>
      </c>
      <c r="I33" s="95">
        <f>IFERROR(INDEX(기간별손익계산서!$C:$N,MATCH($O33,기간별손익계산서!$Q:$Q,0),MONTH(EOMONTH(인덱스!$K$1,-1))),0)</f>
        <v>0</v>
      </c>
      <c r="J33" s="95">
        <f>IFERROR(INDEX(기간별손익계산서!$C:$N,MATCH($O33,기간별손익계산서!$Q:$Q,0),MONTH(인덱스!$K$1)),0)</f>
        <v>0</v>
      </c>
      <c r="K33" s="95">
        <f t="shared" si="0"/>
        <v>0</v>
      </c>
      <c r="L33" s="113" t="str">
        <f t="shared" si="3"/>
        <v>변동없음</v>
      </c>
      <c r="M33" s="115" t="s">
        <v>206</v>
      </c>
      <c r="N33" t="str">
        <f t="shared" si="1"/>
        <v>포장비</v>
      </c>
      <c r="O33" t="str">
        <f>N33&amp;"|"&amp;COUNTIF($N$7:N33,N33)</f>
        <v>포장비|1</v>
      </c>
      <c r="P33" s="93" t="str">
        <f>IF($A33="","",IF(ISNUMBER(MATCH($O33,기간별손익계산서!$Q:$Q,0)),"✓ 일치","⚠ 확인필요"))</f>
        <v>⚠ 확인필요</v>
      </c>
      <c r="Q33" s="94" t="str">
        <f t="shared" si="2"/>
        <v/>
      </c>
    </row>
    <row r="34" spans="1:17" ht="22.5" customHeight="1">
      <c r="A34" s="108" t="s">
        <v>159</v>
      </c>
      <c r="B34" s="111">
        <f>IFERROR(INDEX(기간별손익계산서!$B:$B,MATCH($O34,기간별손익계산서!$Q:$Q,0)),0)</f>
        <v>18876205</v>
      </c>
      <c r="C34" s="111">
        <f>IFERROR(INDEX(기간별손익계산서!$C:$N,MATCH($O34,기간별손익계산서!$Q:$Q,0),1),0)</f>
        <v>2445379</v>
      </c>
      <c r="D34" s="111">
        <f>IFERROR(INDEX(기간별손익계산서!$C:$N,MATCH($O34,기간별손익계산서!$Q:$Q,0),2),0)</f>
        <v>683732</v>
      </c>
      <c r="E34" s="111">
        <f>IFERROR(INDEX(기간별손익계산서!$C:$N,MATCH($O34,기간별손익계산서!$Q:$Q,0),3),0)</f>
        <v>3596924</v>
      </c>
      <c r="F34" s="111">
        <f>IFERROR(INDEX(기간별손익계산서!$C:$N,MATCH($O34,기간별손익계산서!$Q:$Q,0),4),0)</f>
        <v>1948321</v>
      </c>
      <c r="G34" s="111">
        <f>IFERROR(INDEX(기간별손익계산서!$C:$N,MATCH($O34,기간별손익계산서!$Q:$Q,0),5),0)</f>
        <v>3037487</v>
      </c>
      <c r="H34" s="111">
        <f>IFERROR(INDEX(기간별손익계산서!$C:$N,MATCH($O34,기간별손익계산서!$Q:$Q,0),6),0)</f>
        <v>1602097</v>
      </c>
      <c r="I34" s="95">
        <f>IFERROR(INDEX(기간별손익계산서!$C:$N,MATCH($O34,기간별손익계산서!$Q:$Q,0),MONTH(EOMONTH(인덱스!$K$1,-1))),0)</f>
        <v>1602097</v>
      </c>
      <c r="J34" s="95">
        <f>IFERROR(INDEX(기간별손익계산서!$C:$N,MATCH($O34,기간별손익계산서!$Q:$Q,0),MONTH(인덱스!$K$1)),0)</f>
        <v>5562265</v>
      </c>
      <c r="K34" s="95">
        <f t="shared" si="0"/>
        <v>3960168</v>
      </c>
      <c r="L34" s="113" t="str">
        <f t="shared" si="3"/>
        <v>증가</v>
      </c>
      <c r="M34" s="115" t="s">
        <v>207</v>
      </c>
      <c r="N34" t="str">
        <f t="shared" si="1"/>
        <v>소모품비</v>
      </c>
      <c r="O34" t="str">
        <f>N34&amp;"|"&amp;COUNTIF($N$7:N34,N34)</f>
        <v>소모품비|1</v>
      </c>
      <c r="P34" s="93" t="str">
        <f>IF($A34="","",IF(ISNUMBER(MATCH($O34,기간별손익계산서!$Q:$Q,0)),"✓ 일치","⚠ 확인필요"))</f>
        <v>✓ 일치</v>
      </c>
      <c r="Q34" s="94">
        <f t="shared" si="2"/>
        <v>2.4718653115260811</v>
      </c>
    </row>
    <row r="35" spans="1:17" ht="26.25" customHeight="1">
      <c r="A35" s="108" t="s">
        <v>160</v>
      </c>
      <c r="B35" s="111">
        <f>IFERROR(INDEX(기간별손익계산서!$B:$B,MATCH($O35,기간별손익계산서!$Q:$Q,0)),0)</f>
        <v>196598820</v>
      </c>
      <c r="C35" s="111">
        <f>IFERROR(INDEX(기간별손익계산서!$C:$N,MATCH($O35,기간별손익계산서!$Q:$Q,0),1),0)</f>
        <v>31388944</v>
      </c>
      <c r="D35" s="111">
        <f>IFERROR(INDEX(기간별손익계산서!$C:$N,MATCH($O35,기간별손익계산서!$Q:$Q,0),2),0)</f>
        <v>25573139</v>
      </c>
      <c r="E35" s="111">
        <f>IFERROR(INDEX(기간별손익계산서!$C:$N,MATCH($O35,기간별손익계산서!$Q:$Q,0),3),0)</f>
        <v>33370976</v>
      </c>
      <c r="F35" s="111">
        <f>IFERROR(INDEX(기간별손익계산서!$C:$N,MATCH($O35,기간별손익계산서!$Q:$Q,0),4),0)</f>
        <v>26110603</v>
      </c>
      <c r="G35" s="111">
        <f>IFERROR(INDEX(기간별손익계산서!$C:$N,MATCH($O35,기간별손익계산서!$Q:$Q,0),5),0)</f>
        <v>28910791</v>
      </c>
      <c r="H35" s="111">
        <f>IFERROR(INDEX(기간별손익계산서!$C:$N,MATCH($O35,기간별손익계산서!$Q:$Q,0),6),0)</f>
        <v>26532030</v>
      </c>
      <c r="I35" s="95">
        <f>IFERROR(INDEX(기간별손익계산서!$C:$N,MATCH($O35,기간별손익계산서!$Q:$Q,0),MONTH(EOMONTH(인덱스!$K$1,-1))),0)</f>
        <v>26532030</v>
      </c>
      <c r="J35" s="95">
        <f>IFERROR(INDEX(기간별손익계산서!$C:$N,MATCH($O35,기간별손익계산서!$Q:$Q,0),MONTH(인덱스!$K$1)),0)</f>
        <v>24712337</v>
      </c>
      <c r="K35" s="95">
        <f t="shared" si="0"/>
        <v>-1819693</v>
      </c>
      <c r="L35" s="113" t="str">
        <f t="shared" si="3"/>
        <v>감소</v>
      </c>
      <c r="M35" s="114" t="s">
        <v>208</v>
      </c>
      <c r="N35" t="str">
        <f t="shared" si="1"/>
        <v>지급수수료</v>
      </c>
      <c r="O35" t="str">
        <f>N35&amp;"|"&amp;COUNTIF($N$7:N35,N35)</f>
        <v>지급수수료|1</v>
      </c>
      <c r="P35" s="93" t="str">
        <f>IF($A35="","",IF(ISNUMBER(MATCH($O35,기간별손익계산서!$Q:$Q,0)),"✓ 일치","⚠ 확인필요"))</f>
        <v>✓ 일치</v>
      </c>
      <c r="Q35" s="94">
        <f t="shared" si="2"/>
        <v>-6.8584763397297535E-2</v>
      </c>
    </row>
    <row r="36" spans="1:17" ht="22.5" customHeight="1">
      <c r="A36" s="108" t="s">
        <v>161</v>
      </c>
      <c r="B36" s="111">
        <f>IFERROR(INDEX(기간별손익계산서!$B:$B,MATCH($O36,기간별손익계산서!$Q:$Q,0)),0)</f>
        <v>0</v>
      </c>
      <c r="C36" s="111">
        <f>IFERROR(INDEX(기간별손익계산서!$C:$N,MATCH($O36,기간별손익계산서!$Q:$Q,0),1),0)</f>
        <v>0</v>
      </c>
      <c r="D36" s="111">
        <f>IFERROR(INDEX(기간별손익계산서!$C:$N,MATCH($O36,기간별손익계산서!$Q:$Q,0),2),0)</f>
        <v>0</v>
      </c>
      <c r="E36" s="111">
        <f>IFERROR(INDEX(기간별손익계산서!$C:$N,MATCH($O36,기간별손익계산서!$Q:$Q,0),3),0)</f>
        <v>0</v>
      </c>
      <c r="F36" s="111">
        <f>IFERROR(INDEX(기간별손익계산서!$C:$N,MATCH($O36,기간별손익계산서!$Q:$Q,0),4),0)</f>
        <v>0</v>
      </c>
      <c r="G36" s="111">
        <f>IFERROR(INDEX(기간별손익계산서!$C:$N,MATCH($O36,기간별손익계산서!$Q:$Q,0),5),0)</f>
        <v>0</v>
      </c>
      <c r="H36" s="111">
        <f>IFERROR(INDEX(기간별손익계산서!$C:$N,MATCH($O36,기간별손익계산서!$Q:$Q,0),6),0)</f>
        <v>0</v>
      </c>
      <c r="I36" s="95">
        <f>IFERROR(INDEX(기간별손익계산서!$C:$N,MATCH($O36,기간별손익계산서!$Q:$Q,0),MONTH(EOMONTH(인덱스!$K$1,-1))),0)</f>
        <v>0</v>
      </c>
      <c r="J36" s="95">
        <f>IFERROR(INDEX(기간별손익계산서!$C:$N,MATCH($O36,기간별손익계산서!$Q:$Q,0),MONTH(인덱스!$K$1)),0)</f>
        <v>0</v>
      </c>
      <c r="K36" s="95">
        <f t="shared" si="0"/>
        <v>0</v>
      </c>
      <c r="L36" s="113" t="str">
        <f t="shared" si="3"/>
        <v>변동없음</v>
      </c>
      <c r="M36" s="115" t="s">
        <v>209</v>
      </c>
      <c r="N36" t="str">
        <f t="shared" si="1"/>
        <v>대손상각비</v>
      </c>
      <c r="O36" t="str">
        <f>N36&amp;"|"&amp;COUNTIF($N$7:N36,N36)</f>
        <v>대손상각비|1</v>
      </c>
      <c r="P36" s="93" t="str">
        <f>IF($A36="","",IF(ISNUMBER(MATCH($O36,기간별손익계산서!$Q:$Q,0)),"✓ 일치","⚠ 확인필요"))</f>
        <v>⚠ 확인필요</v>
      </c>
      <c r="Q36" s="94" t="str">
        <f t="shared" si="2"/>
        <v/>
      </c>
    </row>
    <row r="37" spans="1:17" ht="22.5" customHeight="1">
      <c r="A37" s="108" t="s">
        <v>162</v>
      </c>
      <c r="B37" s="111">
        <f>IFERROR(INDEX(기간별손익계산서!$B:$B,MATCH($O37,기간별손익계산서!$Q:$Q,0)),0)</f>
        <v>968104</v>
      </c>
      <c r="C37" s="111">
        <f>IFERROR(INDEX(기간별손익계산서!$C:$N,MATCH($O37,기간별손익계산서!$Q:$Q,0),1),0)</f>
        <v>461191</v>
      </c>
      <c r="D37" s="111">
        <f>IFERROR(INDEX(기간별손익계산서!$C:$N,MATCH($O37,기간별손익계산서!$Q:$Q,0),2),0)</f>
        <v>0</v>
      </c>
      <c r="E37" s="111">
        <f>IFERROR(INDEX(기간별손익계산서!$C:$N,MATCH($O37,기간별손익계산서!$Q:$Q,0),3),0)</f>
        <v>0</v>
      </c>
      <c r="F37" s="111">
        <f>IFERROR(INDEX(기간별손익계산서!$C:$N,MATCH($O37,기간별손익계산서!$Q:$Q,0),4),0)</f>
        <v>315284</v>
      </c>
      <c r="G37" s="111">
        <f>IFERROR(INDEX(기간별손익계산서!$C:$N,MATCH($O37,기간별손익계산서!$Q:$Q,0),5),0)</f>
        <v>191629</v>
      </c>
      <c r="H37" s="111">
        <f>IFERROR(INDEX(기간별손익계산서!$C:$N,MATCH($O37,기간별손익계산서!$Q:$Q,0),6),0)</f>
        <v>0</v>
      </c>
      <c r="I37" s="95">
        <f>IFERROR(INDEX(기간별손익계산서!$C:$N,MATCH($O37,기간별손익계산서!$Q:$Q,0),MONTH(EOMONTH(인덱스!$K$1,-1))),0)</f>
        <v>0</v>
      </c>
      <c r="J37" s="95">
        <f>IFERROR(INDEX(기간별손익계산서!$C:$N,MATCH($O37,기간별손익계산서!$Q:$Q,0),MONTH(인덱스!$K$1)),0)</f>
        <v>0</v>
      </c>
      <c r="K37" s="95">
        <f t="shared" si="0"/>
        <v>0</v>
      </c>
      <c r="L37" s="113" t="str">
        <f t="shared" si="3"/>
        <v>변동없음</v>
      </c>
      <c r="M37" s="115" t="s">
        <v>210</v>
      </c>
      <c r="N37" t="str">
        <f t="shared" si="1"/>
        <v>수출제비용</v>
      </c>
      <c r="O37" t="str">
        <f>N37&amp;"|"&amp;COUNTIF($N$7:N37,N37)</f>
        <v>수출제비용|1</v>
      </c>
      <c r="P37" s="93" t="str">
        <f>IF($A37="","",IF(ISNUMBER(MATCH($O37,기간별손익계산서!$Q:$Q,0)),"✓ 일치","⚠ 확인필요"))</f>
        <v>✓ 일치</v>
      </c>
      <c r="Q37" s="94" t="str">
        <f t="shared" si="2"/>
        <v/>
      </c>
    </row>
    <row r="38" spans="1:17" ht="24" customHeight="1">
      <c r="A38" s="74" t="s">
        <v>163</v>
      </c>
      <c r="B38" s="91">
        <f>IFERROR(INDEX(기간별손익계산서!$B:$B,MATCH($O38,기간별손익계산서!$Q:$Q,0)),0)</f>
        <v>1708056234</v>
      </c>
      <c r="C38" s="91">
        <f>IFERROR(INDEX(기간별손익계산서!$C:$N,MATCH($O38,기간별손익계산서!$Q:$Q,0),1),0)</f>
        <v>201922246</v>
      </c>
      <c r="D38" s="91">
        <f>IFERROR(INDEX(기간별손익계산서!$C:$N,MATCH($O38,기간별손익계산서!$Q:$Q,0),2),0)</f>
        <v>177990712</v>
      </c>
      <c r="E38" s="91">
        <f>IFERROR(INDEX(기간별손익계산서!$C:$N,MATCH($O38,기간별손익계산서!$Q:$Q,0),3),0)</f>
        <v>448657414</v>
      </c>
      <c r="F38" s="91">
        <f>IFERROR(INDEX(기간별손익계산서!$C:$N,MATCH($O38,기간별손익계산서!$Q:$Q,0),4),0)</f>
        <v>316863055</v>
      </c>
      <c r="G38" s="91">
        <f>IFERROR(INDEX(기간별손익계산서!$C:$N,MATCH($O38,기간별손익계산서!$Q:$Q,0),5),0)</f>
        <v>244208873</v>
      </c>
      <c r="H38" s="91">
        <f>IFERROR(INDEX(기간별손익계산서!$C:$N,MATCH($O38,기간별손익계산서!$Q:$Q,0),6),0)</f>
        <v>151504066</v>
      </c>
      <c r="I38" s="91">
        <f>IFERROR(INDEX(기간별손익계산서!$C:$N,MATCH($O38,기간별손익계산서!$Q:$Q,0),MONTH(EOMONTH(인덱스!$K$1,-1))),0)</f>
        <v>151504066</v>
      </c>
      <c r="J38" s="91">
        <f>IFERROR(INDEX(기간별손익계산서!$C:$N,MATCH($O38,기간별손익계산서!$Q:$Q,0),MONTH(인덱스!$K$1)),0)</f>
        <v>166909868</v>
      </c>
      <c r="K38" s="91">
        <f t="shared" si="0"/>
        <v>15405802</v>
      </c>
      <c r="L38" s="106" t="str">
        <f t="shared" si="3"/>
        <v>증가</v>
      </c>
      <c r="M38" s="107"/>
      <c r="N38" t="str">
        <f t="shared" si="1"/>
        <v>Ⅴ.영업이익</v>
      </c>
      <c r="O38" t="str">
        <f>N38&amp;"|"&amp;COUNTIF($N$7:N38,N38)</f>
        <v>Ⅴ.영업이익|1</v>
      </c>
      <c r="P38" s="93" t="str">
        <f>IF($A38="","",IF(ISNUMBER(MATCH($O38,기간별손익계산서!$Q:$Q,0)),"✓ 일치","⚠ 확인필요"))</f>
        <v>✓ 일치</v>
      </c>
      <c r="Q38" s="94">
        <f t="shared" si="2"/>
        <v>0.10168573297564172</v>
      </c>
    </row>
    <row r="39" spans="1:17" ht="22.5" customHeight="1">
      <c r="A39" s="74" t="s">
        <v>164</v>
      </c>
      <c r="B39" s="91">
        <f>IFERROR(INDEX(기간별손익계산서!$B:$B,MATCH($O39,기간별손익계산서!$Q:$Q,0)),0)</f>
        <v>145089917</v>
      </c>
      <c r="C39" s="91">
        <f>IFERROR(INDEX(기간별손익계산서!$C:$N,MATCH($O39,기간별손익계산서!$Q:$Q,0),1),0)</f>
        <v>3456</v>
      </c>
      <c r="D39" s="91">
        <f>IFERROR(INDEX(기간별손익계산서!$C:$N,MATCH($O39,기간별손익계산서!$Q:$Q,0),2),0)</f>
        <v>7834976</v>
      </c>
      <c r="E39" s="91">
        <f>IFERROR(INDEX(기간별손익계산서!$C:$N,MATCH($O39,기간별손익계산서!$Q:$Q,0),3),0)</f>
        <v>55981200</v>
      </c>
      <c r="F39" s="91">
        <f>IFERROR(INDEX(기간별손익계산서!$C:$N,MATCH($O39,기간별손익계산서!$Q:$Q,0),4),0)</f>
        <v>15130986</v>
      </c>
      <c r="G39" s="91">
        <f>IFERROR(INDEX(기간별손익계산서!$C:$N,MATCH($O39,기간별손익계산서!$Q:$Q,0),5),0)</f>
        <v>16241089</v>
      </c>
      <c r="H39" s="91">
        <f>IFERROR(INDEX(기간별손익계산서!$C:$N,MATCH($O39,기간별손익계산서!$Q:$Q,0),6),0)</f>
        <v>41809649</v>
      </c>
      <c r="I39" s="91">
        <f>IFERROR(INDEX(기간별손익계산서!$C:$N,MATCH($O39,기간별손익계산서!$Q:$Q,0),MONTH(EOMONTH(인덱스!$K$1,-1))),0)</f>
        <v>41809649</v>
      </c>
      <c r="J39" s="91">
        <f>IFERROR(INDEX(기간별손익계산서!$C:$N,MATCH($O39,기간별손익계산서!$Q:$Q,0),MONTH(인덱스!$K$1)),0)</f>
        <v>8088561</v>
      </c>
      <c r="K39" s="91">
        <f t="shared" si="0"/>
        <v>-33721088</v>
      </c>
      <c r="L39" s="106" t="str">
        <f t="shared" si="3"/>
        <v>감소</v>
      </c>
      <c r="M39" s="107"/>
      <c r="N39" t="str">
        <f t="shared" si="1"/>
        <v>Ⅵ.영업외수익</v>
      </c>
      <c r="O39" t="str">
        <f>N39&amp;"|"&amp;COUNTIF($N$7:N39,N39)</f>
        <v>Ⅵ.영업외수익|1</v>
      </c>
      <c r="P39" s="93" t="str">
        <f>IF($A39="","",IF(ISNUMBER(MATCH($O39,기간별손익계산서!$Q:$Q,0)),"✓ 일치","⚠ 확인필요"))</f>
        <v>✓ 일치</v>
      </c>
      <c r="Q39" s="94">
        <f t="shared" si="2"/>
        <v>-0.8065384141349764</v>
      </c>
    </row>
    <row r="40" spans="1:17" ht="22.5" customHeight="1">
      <c r="A40" s="67" t="s">
        <v>165</v>
      </c>
      <c r="B40" s="111">
        <f>IFERROR(INDEX(기간별손익계산서!$B:$B,MATCH($O40,기간별손익계산서!$Q:$Q,0)),0)</f>
        <v>113934601</v>
      </c>
      <c r="C40" s="111">
        <f>IFERROR(INDEX(기간별손익계산서!$C:$N,MATCH($O40,기간별손익계산서!$Q:$Q,0),1),0)</f>
        <v>2656</v>
      </c>
      <c r="D40" s="111">
        <f>IFERROR(INDEX(기간별손익계산서!$C:$N,MATCH($O40,기간별손익계산서!$Q:$Q,0),2),0)</f>
        <v>5106911</v>
      </c>
      <c r="E40" s="111">
        <f>IFERROR(INDEX(기간별손익계산서!$C:$N,MATCH($O40,기간별손익계산서!$Q:$Q,0),3),0)</f>
        <v>53038190</v>
      </c>
      <c r="F40" s="111">
        <f>IFERROR(INDEX(기간별손익계산서!$C:$N,MATCH($O40,기간별손익계산서!$Q:$Q,0),4),0)</f>
        <v>4923</v>
      </c>
      <c r="G40" s="111">
        <f>IFERROR(INDEX(기간별손익계산서!$C:$N,MATCH($O40,기간별손익계산서!$Q:$Q,0),5),0)</f>
        <v>12790289</v>
      </c>
      <c r="H40" s="111">
        <f>IFERROR(INDEX(기간별손익계산서!$C:$N,MATCH($O40,기간별손익계산서!$Q:$Q,0),6),0)</f>
        <v>38353858</v>
      </c>
      <c r="I40" s="95">
        <f>IFERROR(INDEX(기간별손익계산서!$C:$N,MATCH($O40,기간별손익계산서!$Q:$Q,0),MONTH(EOMONTH(인덱스!$K$1,-1))),0)</f>
        <v>38353858</v>
      </c>
      <c r="J40" s="95">
        <f>IFERROR(INDEX(기간별손익계산서!$C:$N,MATCH($O40,기간별손익계산서!$Q:$Q,0),MONTH(인덱스!$K$1)),0)</f>
        <v>4637774</v>
      </c>
      <c r="K40" s="95">
        <f t="shared" si="0"/>
        <v>-33716084</v>
      </c>
      <c r="L40" s="113" t="str">
        <f t="shared" si="3"/>
        <v>감소</v>
      </c>
      <c r="M40" s="115" t="s">
        <v>211</v>
      </c>
      <c r="N40" t="str">
        <f t="shared" si="1"/>
        <v>이자수익</v>
      </c>
      <c r="O40" t="str">
        <f>N40&amp;"|"&amp;COUNTIF($N$7:N40,N40)</f>
        <v>이자수익|1</v>
      </c>
      <c r="P40" s="93" t="str">
        <f>IF($A40="","",IF(ISNUMBER(MATCH($O40,기간별손익계산서!$Q:$Q,0)),"✓ 일치","⚠ 확인필요"))</f>
        <v>✓ 일치</v>
      </c>
      <c r="Q40" s="94">
        <f t="shared" si="2"/>
        <v>-0.87907933538263605</v>
      </c>
    </row>
    <row r="41" spans="1:17" ht="22.5" customHeight="1">
      <c r="A41" s="67" t="s">
        <v>166</v>
      </c>
      <c r="B41" s="111">
        <f>IFERROR(INDEX(기간별손익계산서!$B:$B,MATCH($O41,기간별손익계산서!$Q:$Q,0)),0)</f>
        <v>9493467</v>
      </c>
      <c r="C41" s="111">
        <f>IFERROR(INDEX(기간별손익계산서!$C:$N,MATCH($O41,기간별손익계산서!$Q:$Q,0),1),0)</f>
        <v>0</v>
      </c>
      <c r="D41" s="111">
        <f>IFERROR(INDEX(기간별손익계산서!$C:$N,MATCH($O41,기간별손익계산서!$Q:$Q,0),2),0)</f>
        <v>0</v>
      </c>
      <c r="E41" s="111">
        <f>IFERROR(INDEX(기간별손익계산서!$C:$N,MATCH($O41,기간별손익계산서!$Q:$Q,0),3),0)</f>
        <v>0</v>
      </c>
      <c r="F41" s="111">
        <f>IFERROR(INDEX(기간별손익계산서!$C:$N,MATCH($O41,기간별손익계산서!$Q:$Q,0),4),0)</f>
        <v>9493467</v>
      </c>
      <c r="G41" s="111">
        <f>IFERROR(INDEX(기간별손익계산서!$C:$N,MATCH($O41,기간별손익계산서!$Q:$Q,0),5),0)</f>
        <v>0</v>
      </c>
      <c r="H41" s="111">
        <f>IFERROR(INDEX(기간별손익계산서!$C:$N,MATCH($O41,기간별손익계산서!$Q:$Q,0),6),0)</f>
        <v>0</v>
      </c>
      <c r="I41" s="95">
        <f>IFERROR(INDEX(기간별손익계산서!$C:$N,MATCH($O41,기간별손익계산서!$Q:$Q,0),MONTH(EOMONTH(인덱스!$K$1,-1))),0)</f>
        <v>0</v>
      </c>
      <c r="J41" s="95">
        <f>IFERROR(INDEX(기간별손익계산서!$C:$N,MATCH($O41,기간별손익계산서!$Q:$Q,0),MONTH(인덱스!$K$1)),0)</f>
        <v>0</v>
      </c>
      <c r="K41" s="95">
        <f t="shared" si="0"/>
        <v>0</v>
      </c>
      <c r="L41" s="113" t="str">
        <f t="shared" si="3"/>
        <v>변동없음</v>
      </c>
      <c r="M41" s="110"/>
      <c r="N41" t="str">
        <f t="shared" si="1"/>
        <v>외환차익</v>
      </c>
      <c r="O41" t="str">
        <f>N41&amp;"|"&amp;COUNTIF($N$7:N41,N41)</f>
        <v>외환차익|1</v>
      </c>
      <c r="P41" s="93" t="str">
        <f>IF($A41="","",IF(ISNUMBER(MATCH($O41,기간별손익계산서!$Q:$Q,0)),"✓ 일치","⚠ 확인필요"))</f>
        <v>✓ 일치</v>
      </c>
      <c r="Q41" s="94" t="str">
        <f t="shared" si="2"/>
        <v/>
      </c>
    </row>
    <row r="42" spans="1:17" ht="22.5" customHeight="1">
      <c r="A42" s="67" t="s">
        <v>168</v>
      </c>
      <c r="B42" s="111">
        <f>IFERROR(INDEX(기간별손익계산서!$B:$B,MATCH($O42,기간별손익계산서!$Q:$Q,0)),0)</f>
        <v>7089909</v>
      </c>
      <c r="C42" s="111">
        <f>IFERROR(INDEX(기간별손익계산서!$C:$N,MATCH($O42,기간별손익계산서!$Q:$Q,0),1),0)</f>
        <v>0</v>
      </c>
      <c r="D42" s="111">
        <f>IFERROR(INDEX(기간별손익계산서!$C:$N,MATCH($O42,기간별손익계산서!$Q:$Q,0),2),0)</f>
        <v>2727273</v>
      </c>
      <c r="E42" s="111">
        <f>IFERROR(INDEX(기간별손익계산서!$C:$N,MATCH($O42,기간별손익계산서!$Q:$Q,0),3),0)</f>
        <v>2180818</v>
      </c>
      <c r="F42" s="111">
        <f>IFERROR(INDEX(기간별손익계산서!$C:$N,MATCH($O42,기간별손익계산서!$Q:$Q,0),4),0)</f>
        <v>2181818</v>
      </c>
      <c r="G42" s="111">
        <f>IFERROR(INDEX(기간별손익계산서!$C:$N,MATCH($O42,기간별손익계산서!$Q:$Q,0),5),0)</f>
        <v>0</v>
      </c>
      <c r="H42" s="111">
        <f>IFERROR(INDEX(기간별손익계산서!$C:$N,MATCH($O42,기간별손익계산서!$Q:$Q,0),6),0)</f>
        <v>0</v>
      </c>
      <c r="I42" s="95">
        <f>IFERROR(INDEX(기간별손익계산서!$C:$N,MATCH($O42,기간별손익계산서!$Q:$Q,0),MONTH(EOMONTH(인덱스!$K$1,-1))),0)</f>
        <v>0</v>
      </c>
      <c r="J42" s="95">
        <f>IFERROR(INDEX(기간별손익계산서!$C:$N,MATCH($O42,기간별손익계산서!$Q:$Q,0),MONTH(인덱스!$K$1)),0)</f>
        <v>0</v>
      </c>
      <c r="K42" s="95">
        <f t="shared" si="0"/>
        <v>0</v>
      </c>
      <c r="L42" s="113" t="str">
        <f t="shared" si="3"/>
        <v>변동없음</v>
      </c>
      <c r="M42" s="110"/>
      <c r="N42" t="str">
        <f t="shared" si="1"/>
        <v>유형자산처분이익</v>
      </c>
      <c r="O42" t="str">
        <f>N42&amp;"|"&amp;COUNTIF($N$7:N42,N42)</f>
        <v>유형자산처분이익|1</v>
      </c>
      <c r="P42" s="93" t="str">
        <f>IF($A42="","",IF(ISNUMBER(MATCH($O42,기간별손익계산서!$Q:$Q,0)),"✓ 일치","⚠ 확인필요"))</f>
        <v>✓ 일치</v>
      </c>
      <c r="Q42" s="94" t="str">
        <f t="shared" si="2"/>
        <v/>
      </c>
    </row>
    <row r="43" spans="1:17" ht="22.5" customHeight="1">
      <c r="A43" s="67" t="s">
        <v>169</v>
      </c>
      <c r="B43" s="111">
        <f>IFERROR(INDEX(기간별손익계산서!$B:$B,MATCH($O43,기간별손익계산서!$Q:$Q,0)),0)</f>
        <v>0</v>
      </c>
      <c r="C43" s="111">
        <f>IFERROR(INDEX(기간별손익계산서!$C:$N,MATCH($O43,기간별손익계산서!$Q:$Q,0),1),0)</f>
        <v>0</v>
      </c>
      <c r="D43" s="111">
        <f>IFERROR(INDEX(기간별손익계산서!$C:$N,MATCH($O43,기간별손익계산서!$Q:$Q,0),2),0)</f>
        <v>0</v>
      </c>
      <c r="E43" s="111">
        <f>IFERROR(INDEX(기간별손익계산서!$C:$N,MATCH($O43,기간별손익계산서!$Q:$Q,0),3),0)</f>
        <v>0</v>
      </c>
      <c r="F43" s="111">
        <f>IFERROR(INDEX(기간별손익계산서!$C:$N,MATCH($O43,기간별손익계산서!$Q:$Q,0),4),0)</f>
        <v>0</v>
      </c>
      <c r="G43" s="111">
        <f>IFERROR(INDEX(기간별손익계산서!$C:$N,MATCH($O43,기간별손익계산서!$Q:$Q,0),5),0)</f>
        <v>0</v>
      </c>
      <c r="H43" s="111">
        <f>IFERROR(INDEX(기간별손익계산서!$C:$N,MATCH($O43,기간별손익계산서!$Q:$Q,0),6),0)</f>
        <v>0</v>
      </c>
      <c r="I43" s="95">
        <f>IFERROR(INDEX(기간별손익계산서!$C:$N,MATCH($O43,기간별손익계산서!$Q:$Q,0),MONTH(EOMONTH(인덱스!$K$1,-1))),0)</f>
        <v>0</v>
      </c>
      <c r="J43" s="95">
        <f>IFERROR(INDEX(기간별손익계산서!$C:$N,MATCH($O43,기간별손익계산서!$Q:$Q,0),MONTH(인덱스!$K$1)),0)</f>
        <v>0</v>
      </c>
      <c r="K43" s="95">
        <f t="shared" si="0"/>
        <v>0</v>
      </c>
      <c r="L43" s="113" t="str">
        <f t="shared" si="3"/>
        <v>변동없음</v>
      </c>
      <c r="M43" s="110"/>
      <c r="N43" t="str">
        <f t="shared" si="1"/>
        <v>투자자산처분이익</v>
      </c>
      <c r="O43" t="str">
        <f>N43&amp;"|"&amp;COUNTIF($N$7:N43,N43)</f>
        <v>투자자산처분이익|1</v>
      </c>
      <c r="P43" s="93" t="str">
        <f>IF($A43="","",IF(ISNUMBER(MATCH($O43,기간별손익계산서!$Q:$Q,0)),"✓ 일치","⚠ 확인필요"))</f>
        <v>⚠ 확인필요</v>
      </c>
      <c r="Q43" s="94" t="str">
        <f t="shared" si="2"/>
        <v/>
      </c>
    </row>
    <row r="44" spans="1:17" ht="22.5" customHeight="1">
      <c r="A44" s="67" t="s">
        <v>171</v>
      </c>
      <c r="B44" s="111">
        <f>IFERROR(INDEX(기간별손익계산서!$B:$B,MATCH($O44,기간별손익계산서!$Q:$Q,0)),0)</f>
        <v>14571940</v>
      </c>
      <c r="C44" s="111">
        <f>IFERROR(INDEX(기간별손익계산서!$C:$N,MATCH($O44,기간별손익계산서!$Q:$Q,0),1),0)</f>
        <v>800</v>
      </c>
      <c r="D44" s="111">
        <f>IFERROR(INDEX(기간별손익계산서!$C:$N,MATCH($O44,기간별손익계산서!$Q:$Q,0),2),0)</f>
        <v>792</v>
      </c>
      <c r="E44" s="111">
        <f>IFERROR(INDEX(기간별손익계산서!$C:$N,MATCH($O44,기간별손익계산서!$Q:$Q,0),3),0)</f>
        <v>762192</v>
      </c>
      <c r="F44" s="111">
        <f>IFERROR(INDEX(기간별손익계산서!$C:$N,MATCH($O44,기간별손익계산서!$Q:$Q,0),4),0)</f>
        <v>3450778</v>
      </c>
      <c r="G44" s="111">
        <f>IFERROR(INDEX(기간별손익계산서!$C:$N,MATCH($O44,기간별손익계산서!$Q:$Q,0),5),0)</f>
        <v>3450800</v>
      </c>
      <c r="H44" s="111">
        <f>IFERROR(INDEX(기간별손익계산서!$C:$N,MATCH($O44,기간별손익계산서!$Q:$Q,0),6),0)</f>
        <v>3455791</v>
      </c>
      <c r="I44" s="95">
        <f>IFERROR(INDEX(기간별손익계산서!$C:$N,MATCH($O44,기간별손익계산서!$Q:$Q,0),MONTH(EOMONTH(인덱스!$K$1,-1))),0)</f>
        <v>3455791</v>
      </c>
      <c r="J44" s="95">
        <f>IFERROR(INDEX(기간별손익계산서!$C:$N,MATCH($O44,기간별손익계산서!$Q:$Q,0),MONTH(인덱스!$K$1)),0)</f>
        <v>3450787</v>
      </c>
      <c r="K44" s="95">
        <f t="shared" si="0"/>
        <v>-5004</v>
      </c>
      <c r="L44" s="113" t="str">
        <f t="shared" si="3"/>
        <v>감소</v>
      </c>
      <c r="M44" s="116" t="s">
        <v>212</v>
      </c>
      <c r="N44" t="str">
        <f t="shared" si="1"/>
        <v>잡이익</v>
      </c>
      <c r="O44" t="str">
        <f>N44&amp;"|"&amp;COUNTIF($N$7:N44,N44)</f>
        <v>잡이익|1</v>
      </c>
      <c r="P44" s="93" t="str">
        <f>IF($A44="","",IF(ISNUMBER(MATCH($O44,기간별손익계산서!$Q:$Q,0)),"✓ 일치","⚠ 확인필요"))</f>
        <v>✓ 일치</v>
      </c>
      <c r="Q44" s="94">
        <f t="shared" si="2"/>
        <v>-1.4480042340523486E-3</v>
      </c>
    </row>
    <row r="45" spans="1:17" ht="22.5" customHeight="1">
      <c r="A45" s="74" t="s">
        <v>172</v>
      </c>
      <c r="B45" s="112">
        <f>IFERROR(INDEX(기간별손익계산서!$B:$B,MATCH($O45,기간별손익계산서!$Q:$Q,0)),0)</f>
        <v>1315405</v>
      </c>
      <c r="C45" s="112">
        <f>IFERROR(INDEX(기간별손익계산서!$C:$N,MATCH($O45,기간별손익계산서!$Q:$Q,0),1),0)</f>
        <v>0</v>
      </c>
      <c r="D45" s="112">
        <f>IFERROR(INDEX(기간별손익계산서!$C:$N,MATCH($O45,기간별손익계산서!$Q:$Q,0),2),0)</f>
        <v>1112869</v>
      </c>
      <c r="E45" s="112">
        <f>IFERROR(INDEX(기간별손익계산서!$C:$N,MATCH($O45,기간별손익계산서!$Q:$Q,0),3),0)</f>
        <v>32000</v>
      </c>
      <c r="F45" s="112">
        <f>IFERROR(INDEX(기간별손익계산서!$C:$N,MATCH($O45,기간별손익계산서!$Q:$Q,0),4),0)</f>
        <v>20600</v>
      </c>
      <c r="G45" s="112">
        <f>IFERROR(INDEX(기간별손익계산서!$C:$N,MATCH($O45,기간별손익계산서!$Q:$Q,0),5),0)</f>
        <v>56000</v>
      </c>
      <c r="H45" s="112">
        <f>IFERROR(INDEX(기간별손익계산서!$C:$N,MATCH($O45,기간별손익계산서!$Q:$Q,0),6),0)</f>
        <v>92006</v>
      </c>
      <c r="I45" s="91">
        <f>IFERROR(INDEX(기간별손익계산서!$C:$N,MATCH($O45,기간별손익계산서!$Q:$Q,0),MONTH(EOMONTH(인덱스!$K$1,-1))),0)</f>
        <v>92006</v>
      </c>
      <c r="J45" s="91">
        <f>IFERROR(INDEX(기간별손익계산서!$C:$N,MATCH($O45,기간별손익계산서!$Q:$Q,0),MONTH(인덱스!$K$1)),0)</f>
        <v>1930</v>
      </c>
      <c r="K45" s="91">
        <f t="shared" si="0"/>
        <v>-90076</v>
      </c>
      <c r="L45" s="106" t="str">
        <f t="shared" si="3"/>
        <v>감소</v>
      </c>
      <c r="M45" s="107"/>
      <c r="N45" t="str">
        <f t="shared" si="1"/>
        <v>Ⅶ.영업외비용</v>
      </c>
      <c r="O45" t="str">
        <f>N45&amp;"|"&amp;COUNTIF($N$7:N45,N45)</f>
        <v>Ⅶ.영업외비용|1</v>
      </c>
      <c r="P45" s="93" t="str">
        <f>IF($A45="","",IF(ISNUMBER(MATCH($O45,기간별손익계산서!$Q:$Q,0)),"✓ 일치","⚠ 확인필요"))</f>
        <v>✓ 일치</v>
      </c>
      <c r="Q45" s="94">
        <f t="shared" si="2"/>
        <v>-0.97902310718866159</v>
      </c>
    </row>
    <row r="46" spans="1:17" ht="22.5" customHeight="1">
      <c r="A46" s="67" t="s">
        <v>173</v>
      </c>
      <c r="B46" s="111">
        <f>IFERROR(INDEX(기간별손익계산서!$B:$B,MATCH($O46,기간별손익계산서!$Q:$Q,0)),0)</f>
        <v>0</v>
      </c>
      <c r="C46" s="111">
        <f>IFERROR(INDEX(기간별손익계산서!$C:$N,MATCH($O46,기간별손익계산서!$Q:$Q,0),1),0)</f>
        <v>0</v>
      </c>
      <c r="D46" s="111">
        <f>IFERROR(INDEX(기간별손익계산서!$C:$N,MATCH($O46,기간별손익계산서!$Q:$Q,0),2),0)</f>
        <v>0</v>
      </c>
      <c r="E46" s="111">
        <f>IFERROR(INDEX(기간별손익계산서!$C:$N,MATCH($O46,기간별손익계산서!$Q:$Q,0),3),0)</f>
        <v>0</v>
      </c>
      <c r="F46" s="111">
        <f>IFERROR(INDEX(기간별손익계산서!$C:$N,MATCH($O46,기간별손익계산서!$Q:$Q,0),4),0)</f>
        <v>0</v>
      </c>
      <c r="G46" s="111">
        <f>IFERROR(INDEX(기간별손익계산서!$C:$N,MATCH($O46,기간별손익계산서!$Q:$Q,0),5),0)</f>
        <v>0</v>
      </c>
      <c r="H46" s="111">
        <f>IFERROR(INDEX(기간별손익계산서!$C:$N,MATCH($O46,기간별손익계산서!$Q:$Q,0),6),0)</f>
        <v>0</v>
      </c>
      <c r="I46" s="95">
        <f>IFERROR(INDEX(기간별손익계산서!$C:$N,MATCH($O46,기간별손익계산서!$Q:$Q,0),MONTH(EOMONTH(인덱스!$K$1,-1))),0)</f>
        <v>0</v>
      </c>
      <c r="J46" s="95">
        <f>IFERROR(INDEX(기간별손익계산서!$C:$N,MATCH($O46,기간별손익계산서!$Q:$Q,0),MONTH(인덱스!$K$1)),0)</f>
        <v>0</v>
      </c>
      <c r="K46" s="95">
        <f t="shared" si="0"/>
        <v>0</v>
      </c>
      <c r="L46" s="113" t="str">
        <f t="shared" si="3"/>
        <v>변동없음</v>
      </c>
      <c r="M46" s="110"/>
      <c r="N46" t="str">
        <f t="shared" si="1"/>
        <v>이자비용</v>
      </c>
      <c r="O46" t="str">
        <f>N46&amp;"|"&amp;COUNTIF($N$7:N46,N46)</f>
        <v>이자비용|1</v>
      </c>
      <c r="P46" s="93" t="str">
        <f>IF($A46="","",IF(ISNUMBER(MATCH($O46,기간별손익계산서!$Q:$Q,0)),"✓ 일치","⚠ 확인필요"))</f>
        <v>⚠ 확인필요</v>
      </c>
      <c r="Q46" s="94" t="str">
        <f t="shared" si="2"/>
        <v/>
      </c>
    </row>
    <row r="47" spans="1:17" ht="22.5" customHeight="1">
      <c r="A47" s="67" t="s">
        <v>174</v>
      </c>
      <c r="B47" s="111">
        <f>IFERROR(INDEX(기간별손익계산서!$B:$B,MATCH($O47,기간별손익계산서!$Q:$Q,0)),0)</f>
        <v>1131469</v>
      </c>
      <c r="C47" s="111">
        <f>IFERROR(INDEX(기간별손익계산서!$C:$N,MATCH($O47,기간별손익계산서!$Q:$Q,0),1),0)</f>
        <v>0</v>
      </c>
      <c r="D47" s="111">
        <f>IFERROR(INDEX(기간별손익계산서!$C:$N,MATCH($O47,기간별손익계산서!$Q:$Q,0),2),0)</f>
        <v>1111869</v>
      </c>
      <c r="E47" s="111">
        <f>IFERROR(INDEX(기간별손익계산서!$C:$N,MATCH($O47,기간별손익계산서!$Q:$Q,0),3),0)</f>
        <v>0</v>
      </c>
      <c r="F47" s="111">
        <f>IFERROR(INDEX(기간별손익계산서!$C:$N,MATCH($O47,기간별손익계산서!$Q:$Q,0),4),0)</f>
        <v>19600</v>
      </c>
      <c r="G47" s="111">
        <f>IFERROR(INDEX(기간별손익계산서!$C:$N,MATCH($O47,기간별손익계산서!$Q:$Q,0),5),0)</f>
        <v>0</v>
      </c>
      <c r="H47" s="111">
        <f>IFERROR(INDEX(기간별손익계산서!$C:$N,MATCH($O47,기간별손익계산서!$Q:$Q,0),6),0)</f>
        <v>0</v>
      </c>
      <c r="I47" s="95">
        <f>IFERROR(INDEX(기간별손익계산서!$C:$N,MATCH($O47,기간별손익계산서!$Q:$Q,0),MONTH(EOMONTH(인덱스!$K$1,-1))),0)</f>
        <v>0</v>
      </c>
      <c r="J47" s="95">
        <f>IFERROR(INDEX(기간별손익계산서!$C:$N,MATCH($O47,기간별손익계산서!$Q:$Q,0),MONTH(인덱스!$K$1)),0)</f>
        <v>0</v>
      </c>
      <c r="K47" s="95">
        <f t="shared" si="0"/>
        <v>0</v>
      </c>
      <c r="L47" s="113" t="str">
        <f t="shared" si="3"/>
        <v>변동없음</v>
      </c>
      <c r="M47" s="110"/>
      <c r="N47" t="str">
        <f t="shared" si="1"/>
        <v>외환차손</v>
      </c>
      <c r="O47" t="str">
        <f>N47&amp;"|"&amp;COUNTIF($N$7:N47,N47)</f>
        <v>외환차손|1</v>
      </c>
      <c r="P47" s="93" t="str">
        <f>IF($A47="","",IF(ISNUMBER(MATCH($O47,기간별손익계산서!$Q:$Q,0)),"✓ 일치","⚠ 확인필요"))</f>
        <v>✓ 일치</v>
      </c>
      <c r="Q47" s="94" t="str">
        <f t="shared" si="2"/>
        <v/>
      </c>
    </row>
    <row r="48" spans="1:17" ht="22.5" customHeight="1">
      <c r="A48" s="67" t="s">
        <v>177</v>
      </c>
      <c r="B48" s="111">
        <f>IFERROR(INDEX(기간별손익계산서!$B:$B,MATCH($O48,기간별손익계산서!$Q:$Q,0)),0)</f>
        <v>2000</v>
      </c>
      <c r="C48" s="111">
        <f>IFERROR(INDEX(기간별손익계산서!$C:$N,MATCH($O48,기간별손익계산서!$Q:$Q,0),1),0)</f>
        <v>0</v>
      </c>
      <c r="D48" s="111">
        <f>IFERROR(INDEX(기간별손익계산서!$C:$N,MATCH($O48,기간별손익계산서!$Q:$Q,0),2),0)</f>
        <v>1000</v>
      </c>
      <c r="E48" s="111">
        <f>IFERROR(INDEX(기간별손익계산서!$C:$N,MATCH($O48,기간별손익계산서!$Q:$Q,0),3),0)</f>
        <v>0</v>
      </c>
      <c r="F48" s="111">
        <f>IFERROR(INDEX(기간별손익계산서!$C:$N,MATCH($O48,기간별손익계산서!$Q:$Q,0),4),0)</f>
        <v>1000</v>
      </c>
      <c r="G48" s="111">
        <f>IFERROR(INDEX(기간별손익계산서!$C:$N,MATCH($O48,기간별손익계산서!$Q:$Q,0),5),0)</f>
        <v>0</v>
      </c>
      <c r="H48" s="111">
        <f>IFERROR(INDEX(기간별손익계산서!$C:$N,MATCH($O48,기간별손익계산서!$Q:$Q,0),6),0)</f>
        <v>0</v>
      </c>
      <c r="I48" s="95">
        <f>IFERROR(INDEX(기간별손익계산서!$C:$N,MATCH($O48,기간별손익계산서!$Q:$Q,0),MONTH(EOMONTH(인덱스!$K$1,-1))),0)</f>
        <v>0</v>
      </c>
      <c r="J48" s="95">
        <f>IFERROR(INDEX(기간별손익계산서!$C:$N,MATCH($O48,기간별손익계산서!$Q:$Q,0),MONTH(인덱스!$K$1)),0)</f>
        <v>0</v>
      </c>
      <c r="K48" s="95">
        <f t="shared" si="0"/>
        <v>0</v>
      </c>
      <c r="L48" s="113" t="str">
        <f t="shared" si="3"/>
        <v>변동없음</v>
      </c>
      <c r="M48" s="110"/>
      <c r="N48" t="str">
        <f t="shared" si="1"/>
        <v>유형자산처분손실</v>
      </c>
      <c r="O48" t="str">
        <f>N48&amp;"|"&amp;COUNTIF($N$7:N48,N48)</f>
        <v>유형자산처분손실|1</v>
      </c>
      <c r="P48" s="93" t="str">
        <f>IF($A48="","",IF(ISNUMBER(MATCH($O48,기간별손익계산서!$Q:$Q,0)),"✓ 일치","⚠ 확인필요"))</f>
        <v>✓ 일치</v>
      </c>
      <c r="Q48" s="94" t="str">
        <f t="shared" si="2"/>
        <v/>
      </c>
    </row>
    <row r="49" spans="1:17" ht="22.5" customHeight="1">
      <c r="A49" s="67" t="s">
        <v>178</v>
      </c>
      <c r="B49" s="111">
        <f>IFERROR(INDEX(기간별손익계산서!$B:$B,MATCH($O49,기간별손익계산서!$Q:$Q,0)),0)</f>
        <v>181936</v>
      </c>
      <c r="C49" s="111">
        <f>IFERROR(INDEX(기간별손익계산서!$C:$N,MATCH($O49,기간별손익계산서!$Q:$Q,0),1),0)</f>
        <v>0</v>
      </c>
      <c r="D49" s="111">
        <f>IFERROR(INDEX(기간별손익계산서!$C:$N,MATCH($O49,기간별손익계산서!$Q:$Q,0),2),0)</f>
        <v>0</v>
      </c>
      <c r="E49" s="111">
        <f>IFERROR(INDEX(기간별손익계산서!$C:$N,MATCH($O49,기간별손익계산서!$Q:$Q,0),3),0)</f>
        <v>32000</v>
      </c>
      <c r="F49" s="111">
        <f>IFERROR(INDEX(기간별손익계산서!$C:$N,MATCH($O49,기간별손익계산서!$Q:$Q,0),4),0)</f>
        <v>0</v>
      </c>
      <c r="G49" s="111">
        <f>IFERROR(INDEX(기간별손익계산서!$C:$N,MATCH($O49,기간별손익계산서!$Q:$Q,0),5),0)</f>
        <v>56000</v>
      </c>
      <c r="H49" s="111">
        <f>IFERROR(INDEX(기간별손익계산서!$C:$N,MATCH($O49,기간별손익계산서!$Q:$Q,0),6),0)</f>
        <v>92006</v>
      </c>
      <c r="I49" s="95">
        <f>IFERROR(INDEX(기간별손익계산서!$C:$N,MATCH($O49,기간별손익계산서!$Q:$Q,0),MONTH(EOMONTH(인덱스!$K$1,-1))),0)</f>
        <v>92006</v>
      </c>
      <c r="J49" s="95">
        <f>IFERROR(INDEX(기간별손익계산서!$C:$N,MATCH($O49,기간별손익계산서!$Q:$Q,0),MONTH(인덱스!$K$1)),0)</f>
        <v>1930</v>
      </c>
      <c r="K49" s="95">
        <f t="shared" si="0"/>
        <v>-90076</v>
      </c>
      <c r="L49" s="113" t="str">
        <f t="shared" si="3"/>
        <v>감소</v>
      </c>
      <c r="M49" s="110"/>
      <c r="N49" t="str">
        <f t="shared" si="1"/>
        <v>잡손실</v>
      </c>
      <c r="O49" t="str">
        <f>N49&amp;"|"&amp;COUNTIF($N$7:N49,N49)</f>
        <v>잡손실|1</v>
      </c>
      <c r="P49" s="93" t="str">
        <f>IF($A49="","",IF(ISNUMBER(MATCH($O49,기간별손익계산서!$Q:$Q,0)),"✓ 일치","⚠ 확인필요"))</f>
        <v>✓ 일치</v>
      </c>
      <c r="Q49" s="94">
        <f t="shared" si="2"/>
        <v>-0.97902310718866159</v>
      </c>
    </row>
    <row r="50" spans="1:17" ht="22.5" customHeight="1">
      <c r="A50" s="108" t="s">
        <v>179</v>
      </c>
      <c r="B50" s="111">
        <f>IFERROR(INDEX(기간별손익계산서!$B:$B,MATCH($O50,기간별손익계산서!$Q:$Q,0)),0)</f>
        <v>0</v>
      </c>
      <c r="C50" s="111">
        <f>IFERROR(INDEX(기간별손익계산서!$C:$N,MATCH($O50,기간별손익계산서!$Q:$Q,0),1),0)</f>
        <v>0</v>
      </c>
      <c r="D50" s="111">
        <f>IFERROR(INDEX(기간별손익계산서!$C:$N,MATCH($O50,기간별손익계산서!$Q:$Q,0),2),0)</f>
        <v>0</v>
      </c>
      <c r="E50" s="111">
        <f>IFERROR(INDEX(기간별손익계산서!$C:$N,MATCH($O50,기간별손익계산서!$Q:$Q,0),3),0)</f>
        <v>0</v>
      </c>
      <c r="F50" s="111">
        <f>IFERROR(INDEX(기간별손익계산서!$C:$N,MATCH($O50,기간별손익계산서!$Q:$Q,0),4),0)</f>
        <v>0</v>
      </c>
      <c r="G50" s="111">
        <f>IFERROR(INDEX(기간별손익계산서!$C:$N,MATCH($O50,기간별손익계산서!$Q:$Q,0),5),0)</f>
        <v>0</v>
      </c>
      <c r="H50" s="111">
        <f>IFERROR(INDEX(기간별손익계산서!$C:$N,MATCH($O50,기간별손익계산서!$Q:$Q,0),6),0)</f>
        <v>0</v>
      </c>
      <c r="I50" s="95">
        <f>IFERROR(INDEX(기간별손익계산서!$C:$N,MATCH($O50,기간별손익계산서!$Q:$Q,0),MONTH(EOMONTH(인덱스!$K$1,-1))),0)</f>
        <v>0</v>
      </c>
      <c r="J50" s="95">
        <f>IFERROR(INDEX(기간별손익계산서!$C:$N,MATCH($O50,기간별손익계산서!$Q:$Q,0),MONTH(인덱스!$K$1)),0)</f>
        <v>0</v>
      </c>
      <c r="K50" s="95">
        <f t="shared" si="0"/>
        <v>0</v>
      </c>
      <c r="L50" s="113" t="str">
        <f t="shared" si="3"/>
        <v>변동없음</v>
      </c>
      <c r="M50" s="110"/>
      <c r="N50" t="str">
        <f t="shared" si="1"/>
        <v>법인세추납액</v>
      </c>
      <c r="O50" t="str">
        <f>N50&amp;"|"&amp;COUNTIF($N$7:N50,N50)</f>
        <v>법인세추납액|1</v>
      </c>
      <c r="P50" s="93" t="str">
        <f>IF($A50="","",IF(ISNUMBER(MATCH($O50,기간별손익계산서!$Q:$Q,0)),"✓ 일치","⚠ 확인필요"))</f>
        <v>⚠ 확인필요</v>
      </c>
      <c r="Q50" s="94" t="str">
        <f t="shared" si="2"/>
        <v/>
      </c>
    </row>
    <row r="51" spans="1:17" ht="24" customHeight="1">
      <c r="A51" s="74" t="s">
        <v>180</v>
      </c>
      <c r="B51" s="91">
        <f>IFERROR(INDEX(기간별손익계산서!$B:$B,MATCH($O51,기간별손익계산서!$Q:$Q,0)),0)</f>
        <v>1851830746</v>
      </c>
      <c r="C51" s="91">
        <f>IFERROR(INDEX(기간별손익계산서!$C:$N,MATCH($O51,기간별손익계산서!$Q:$Q,0),1),0)</f>
        <v>201925702</v>
      </c>
      <c r="D51" s="91">
        <f>IFERROR(INDEX(기간별손익계산서!$C:$N,MATCH($O51,기간별손익계산서!$Q:$Q,0),2),0)</f>
        <v>184712819</v>
      </c>
      <c r="E51" s="91">
        <f>IFERROR(INDEX(기간별손익계산서!$C:$N,MATCH($O51,기간별손익계산서!$Q:$Q,0),3),0)</f>
        <v>504606614</v>
      </c>
      <c r="F51" s="91">
        <f>IFERROR(INDEX(기간별손익계산서!$C:$N,MATCH($O51,기간별손익계산서!$Q:$Q,0),4),0)</f>
        <v>331973441</v>
      </c>
      <c r="G51" s="91">
        <f>IFERROR(INDEX(기간별손익계산서!$C:$N,MATCH($O51,기간별손익계산서!$Q:$Q,0),5),0)</f>
        <v>260393962</v>
      </c>
      <c r="H51" s="91">
        <f>IFERROR(INDEX(기간별손익계산서!$C:$N,MATCH($O51,기간별손익계산서!$Q:$Q,0),6),0)</f>
        <v>193221709</v>
      </c>
      <c r="I51" s="91">
        <f>IFERROR(INDEX(기간별손익계산서!$C:$N,MATCH($O51,기간별손익계산서!$Q:$Q,0),MONTH(EOMONTH(인덱스!$K$1,-1))),0)</f>
        <v>193221709</v>
      </c>
      <c r="J51" s="91">
        <f>IFERROR(INDEX(기간별손익계산서!$C:$N,MATCH($O51,기간별손익계산서!$Q:$Q,0),MONTH(인덱스!$K$1)),0)</f>
        <v>174996499</v>
      </c>
      <c r="K51" s="91">
        <f t="shared" si="0"/>
        <v>-18225210</v>
      </c>
      <c r="L51" s="106" t="str">
        <f t="shared" si="3"/>
        <v>감소</v>
      </c>
      <c r="M51" s="107"/>
      <c r="N51" t="str">
        <f t="shared" si="1"/>
        <v>Ⅷ.법인세비용차감전순이익</v>
      </c>
      <c r="O51" t="str">
        <f>N51&amp;"|"&amp;COUNTIF($N$7:N51,N51)</f>
        <v>Ⅷ.법인세비용차감전순이익|1</v>
      </c>
      <c r="P51" s="93" t="str">
        <f>IF($A51="","",IF(ISNUMBER(MATCH($O51,기간별손익계산서!$Q:$Q,0)),"✓ 일치","⚠ 확인필요"))</f>
        <v>✓ 일치</v>
      </c>
      <c r="Q51" s="94">
        <f t="shared" si="2"/>
        <v>-9.4322786473232154E-2</v>
      </c>
    </row>
    <row r="52" spans="1:17" ht="22.5" customHeight="1">
      <c r="A52" s="74" t="s">
        <v>181</v>
      </c>
      <c r="B52" s="91">
        <f>IFERROR(INDEX(기간별손익계산서!$B:$B,MATCH($O52,기간별손익계산서!$Q:$Q,0)),0)</f>
        <v>0</v>
      </c>
      <c r="C52" s="91">
        <f>IFERROR(INDEX(기간별손익계산서!$C:$N,MATCH($O52,기간별손익계산서!$Q:$Q,0),1),0)</f>
        <v>0</v>
      </c>
      <c r="D52" s="91">
        <f>IFERROR(INDEX(기간별손익계산서!$C:$N,MATCH($O52,기간별손익계산서!$Q:$Q,0),2),0)</f>
        <v>0</v>
      </c>
      <c r="E52" s="91">
        <f>IFERROR(INDEX(기간별손익계산서!$C:$N,MATCH($O52,기간별손익계산서!$Q:$Q,0),3),0)</f>
        <v>0</v>
      </c>
      <c r="F52" s="91">
        <f>IFERROR(INDEX(기간별손익계산서!$C:$N,MATCH($O52,기간별손익계산서!$Q:$Q,0),4),0)</f>
        <v>0</v>
      </c>
      <c r="G52" s="91">
        <f>IFERROR(INDEX(기간별손익계산서!$C:$N,MATCH($O52,기간별손익계산서!$Q:$Q,0),5),0)</f>
        <v>0</v>
      </c>
      <c r="H52" s="91">
        <f>IFERROR(INDEX(기간별손익계산서!$C:$N,MATCH($O52,기간별손익계산서!$Q:$Q,0),6),0)</f>
        <v>0</v>
      </c>
      <c r="I52" s="91">
        <f>IFERROR(INDEX(기간별손익계산서!$C:$N,MATCH($O52,기간별손익계산서!$Q:$Q,0),MONTH(EOMONTH(인덱스!$K$1,-1))),0)</f>
        <v>0</v>
      </c>
      <c r="J52" s="91">
        <f>IFERROR(INDEX(기간별손익계산서!$C:$N,MATCH($O52,기간별손익계산서!$Q:$Q,0),MONTH(인덱스!$K$1)),0)</f>
        <v>0</v>
      </c>
      <c r="K52" s="91">
        <f t="shared" si="0"/>
        <v>0</v>
      </c>
      <c r="L52" s="106" t="str">
        <f t="shared" si="3"/>
        <v>변동없음</v>
      </c>
      <c r="M52" s="107"/>
      <c r="N52" t="str">
        <f t="shared" si="1"/>
        <v>Ⅸ.법인세비용</v>
      </c>
      <c r="O52" t="str">
        <f>N52&amp;"|"&amp;COUNTIF($N$7:N52,N52)</f>
        <v>Ⅸ.법인세비용|1</v>
      </c>
      <c r="P52" s="93" t="str">
        <f>IF($A52="","",IF(ISNUMBER(MATCH($O52,기간별손익계산서!$Q:$Q,0)),"✓ 일치","⚠ 확인필요"))</f>
        <v>✓ 일치</v>
      </c>
      <c r="Q52" s="94" t="str">
        <f t="shared" si="2"/>
        <v/>
      </c>
    </row>
    <row r="53" spans="1:17" ht="22.5" customHeight="1">
      <c r="A53" s="67" t="s">
        <v>182</v>
      </c>
      <c r="B53" s="111">
        <f>IFERROR(INDEX(기간별손익계산서!$B:$B,MATCH($O53,기간별손익계산서!$Q:$Q,0)),0)</f>
        <v>0</v>
      </c>
      <c r="C53" s="111">
        <f>IFERROR(INDEX(기간별손익계산서!$C:$N,MATCH($O53,기간별손익계산서!$Q:$Q,0),1),0)</f>
        <v>0</v>
      </c>
      <c r="D53" s="111">
        <f>IFERROR(INDEX(기간별손익계산서!$C:$N,MATCH($O53,기간별손익계산서!$Q:$Q,0),2),0)</f>
        <v>0</v>
      </c>
      <c r="E53" s="111">
        <f>IFERROR(INDEX(기간별손익계산서!$C:$N,MATCH($O53,기간별손익계산서!$Q:$Q,0),3),0)</f>
        <v>0</v>
      </c>
      <c r="F53" s="111">
        <f>IFERROR(INDEX(기간별손익계산서!$C:$N,MATCH($O53,기간별손익계산서!$Q:$Q,0),4),0)</f>
        <v>0</v>
      </c>
      <c r="G53" s="111">
        <f>IFERROR(INDEX(기간별손익계산서!$C:$N,MATCH($O53,기간별손익계산서!$Q:$Q,0),5),0)</f>
        <v>0</v>
      </c>
      <c r="H53" s="111">
        <f>IFERROR(INDEX(기간별손익계산서!$C:$N,MATCH($O53,기간별손익계산서!$Q:$Q,0),6),0)</f>
        <v>0</v>
      </c>
      <c r="I53" s="95">
        <f>IFERROR(INDEX(기간별손익계산서!$C:$N,MATCH($O53,기간별손익계산서!$Q:$Q,0),MONTH(EOMONTH(인덱스!$K$1,-1))),0)</f>
        <v>0</v>
      </c>
      <c r="J53" s="95">
        <f>IFERROR(INDEX(기간별손익계산서!$C:$N,MATCH($O53,기간별손익계산서!$Q:$Q,0),MONTH(인덱스!$K$1)),0)</f>
        <v>0</v>
      </c>
      <c r="K53" s="95">
        <f t="shared" si="0"/>
        <v>0</v>
      </c>
      <c r="L53" s="113" t="str">
        <f t="shared" si="3"/>
        <v>변동없음</v>
      </c>
      <c r="M53" s="110"/>
      <c r="N53" t="str">
        <f t="shared" si="1"/>
        <v>법인세등</v>
      </c>
      <c r="O53" t="str">
        <f>N53&amp;"|"&amp;COUNTIF($N$7:N53,N53)</f>
        <v>법인세등|1</v>
      </c>
      <c r="P53" s="93" t="str">
        <f>IF($A53="","",IF(ISNUMBER(MATCH($O53,기간별손익계산서!$Q:$Q,0)),"✓ 일치","⚠ 확인필요"))</f>
        <v>⚠ 확인필요</v>
      </c>
      <c r="Q53" s="94" t="str">
        <f t="shared" si="2"/>
        <v/>
      </c>
    </row>
    <row r="54" spans="1:17" ht="24" customHeight="1">
      <c r="A54" s="74" t="s">
        <v>183</v>
      </c>
      <c r="B54" s="91">
        <f>IFERROR(INDEX(기간별손익계산서!$B:$B,MATCH($O54,기간별손익계산서!$Q:$Q,0)),0)</f>
        <v>1851830746</v>
      </c>
      <c r="C54" s="91">
        <f>IFERROR(INDEX(기간별손익계산서!$C:$N,MATCH($O54,기간별손익계산서!$Q:$Q,0),1),0)</f>
        <v>201925702</v>
      </c>
      <c r="D54" s="91">
        <f>IFERROR(INDEX(기간별손익계산서!$C:$N,MATCH($O54,기간별손익계산서!$Q:$Q,0),2),0)</f>
        <v>184712819</v>
      </c>
      <c r="E54" s="91">
        <f>IFERROR(INDEX(기간별손익계산서!$C:$N,MATCH($O54,기간별손익계산서!$Q:$Q,0),3),0)</f>
        <v>504606614</v>
      </c>
      <c r="F54" s="91">
        <f>IFERROR(INDEX(기간별손익계산서!$C:$N,MATCH($O54,기간별손익계산서!$Q:$Q,0),4),0)</f>
        <v>331973441</v>
      </c>
      <c r="G54" s="91">
        <f>IFERROR(INDEX(기간별손익계산서!$C:$N,MATCH($O54,기간별손익계산서!$Q:$Q,0),5),0)</f>
        <v>260393962</v>
      </c>
      <c r="H54" s="91">
        <f>IFERROR(INDEX(기간별손익계산서!$C:$N,MATCH($O54,기간별손익계산서!$Q:$Q,0),6),0)</f>
        <v>193221709</v>
      </c>
      <c r="I54" s="91">
        <f>IFERROR(INDEX(기간별손익계산서!$C:$N,MATCH($O54,기간별손익계산서!$Q:$Q,0),MONTH(EOMONTH(인덱스!$K$1,-1))),0)</f>
        <v>193221709</v>
      </c>
      <c r="J54" s="91">
        <f>IFERROR(INDEX(기간별손익계산서!$C:$N,MATCH($O54,기간별손익계산서!$Q:$Q,0),MONTH(인덱스!$K$1)),0)</f>
        <v>174996499</v>
      </c>
      <c r="K54" s="91">
        <f t="shared" si="0"/>
        <v>-18225210</v>
      </c>
      <c r="L54" s="106" t="str">
        <f t="shared" si="3"/>
        <v>감소</v>
      </c>
      <c r="M54" s="107"/>
      <c r="N54" t="str">
        <f t="shared" si="1"/>
        <v>Ⅹ.당기순이익</v>
      </c>
      <c r="O54" t="str">
        <f>N54&amp;"|"&amp;COUNTIF($N$7:N54,N54)</f>
        <v>Ⅹ.당기순이익|1</v>
      </c>
      <c r="P54" s="93" t="str">
        <f>IF($A54="","",IF(ISNUMBER(MATCH($O54,기간별손익계산서!$Q:$Q,0)),"✓ 일치","⚠ 확인필요"))</f>
        <v>✓ 일치</v>
      </c>
      <c r="Q54" s="94">
        <f t="shared" si="2"/>
        <v>-9.4322786473232154E-2</v>
      </c>
    </row>
    <row r="55" spans="1:17" ht="11.25" customHeight="1">
      <c r="J55" s="117"/>
    </row>
  </sheetData>
  <mergeCells count="2">
    <mergeCell ref="A3:M3"/>
    <mergeCell ref="A1:M1"/>
  </mergeCells>
  <phoneticPr fontId="41" type="noConversion"/>
  <conditionalFormatting sqref="P7:P54">
    <cfRule type="expression" dxfId="4" priority="2">
      <formula>$P7="✓ 일치"</formula>
    </cfRule>
    <cfRule type="expression" dxfId="3" priority="3">
      <formula>$P7="⚠ 확인필요"</formula>
    </cfRule>
  </conditionalFormatting>
  <conditionalFormatting sqref="Q7:Q54">
    <cfRule type="expression" dxfId="2" priority="4">
      <formula>Q7&gt;0</formula>
    </cfRule>
    <cfRule type="expression" dxfId="1" priority="5">
      <formula>Q7&lt;0</formula>
    </cfRule>
    <cfRule type="expression" dxfId="0" priority="6">
      <formula>ABS(Q7)&gt;0.2</formula>
    </cfRule>
  </conditionalFormatting>
  <printOptions horizontalCentered="1"/>
  <pageMargins left="0.51180555555555596" right="0.51180555555555596" top="0.59027777777777801" bottom="0.35486111111111102" header="0.511811023622047" footer="0.31527777777777799"/>
  <pageSetup paperSize="9" scale="61" orientation="portrait" verticalDpi="300" r:id="rId1"/>
  <headerFooter>
    <oddFooter>&amp;C&amp;P/1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"/>
  <sheetViews>
    <sheetView zoomScaleNormal="100" workbookViewId="0">
      <selection activeCell="A3" sqref="A3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hidden="1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7" t="s">
        <v>43</v>
      </c>
      <c r="B1" s="159" t="s">
        <v>44</v>
      </c>
      <c r="C1" s="160"/>
      <c r="D1" s="159" t="s">
        <v>46</v>
      </c>
      <c r="E1" s="160"/>
    </row>
    <row r="2" spans="1:7" ht="18.75" customHeight="1">
      <c r="A2" s="161"/>
      <c r="B2" s="157" t="s">
        <v>49</v>
      </c>
      <c r="C2" s="158"/>
      <c r="D2" s="157" t="s">
        <v>50</v>
      </c>
      <c r="E2" s="158"/>
    </row>
    <row r="3" spans="1:7" ht="12" customHeight="1">
      <c r="A3" s="119" t="s">
        <v>51</v>
      </c>
      <c r="B3" s="120"/>
      <c r="C3" s="120"/>
      <c r="D3" s="120"/>
      <c r="E3" s="120"/>
      <c r="F3" t="str">
        <f t="shared" ref="F3:F34" si="0">IF(A3="","",SUBSTITUTE(A3," ",""))</f>
        <v>자산</v>
      </c>
      <c r="G3" t="str">
        <f>IF(A3="","",F3&amp;"|"&amp;COUNTIF($F$3:F3,F3))</f>
        <v>자산|1</v>
      </c>
    </row>
    <row r="4" spans="1:7" ht="12" customHeight="1">
      <c r="A4" s="121" t="s">
        <v>52</v>
      </c>
      <c r="B4" s="120"/>
      <c r="C4" s="120" t="s">
        <v>213</v>
      </c>
      <c r="D4" s="120"/>
      <c r="E4" s="120" t="s">
        <v>214</v>
      </c>
      <c r="F4" t="str">
        <f t="shared" si="0"/>
        <v>Ⅰ.유동자산</v>
      </c>
      <c r="G4" t="str">
        <f>IF(A4="","",F4&amp;"|"&amp;COUNTIF($F$3:F4,F4))</f>
        <v>Ⅰ.유동자산|1</v>
      </c>
    </row>
    <row r="5" spans="1:7" ht="12" customHeight="1">
      <c r="A5" s="121" t="s">
        <v>53</v>
      </c>
      <c r="B5" s="120"/>
      <c r="C5" s="120" t="s">
        <v>215</v>
      </c>
      <c r="D5" s="120"/>
      <c r="E5" s="120" t="s">
        <v>216</v>
      </c>
      <c r="F5" t="str">
        <f t="shared" si="0"/>
        <v>(1)당좌자산</v>
      </c>
      <c r="G5" t="str">
        <f>IF(A5="","",F5&amp;"|"&amp;COUNTIF($F$3:F5,F5))</f>
        <v>(1)당좌자산|1</v>
      </c>
    </row>
    <row r="6" spans="1:7" ht="12" customHeight="1">
      <c r="A6" s="119" t="s">
        <v>54</v>
      </c>
      <c r="B6" s="120"/>
      <c r="C6" s="120" t="s">
        <v>217</v>
      </c>
      <c r="D6" s="120"/>
      <c r="E6" s="120" t="s">
        <v>218</v>
      </c>
      <c r="F6" t="str">
        <f t="shared" si="0"/>
        <v>현금</v>
      </c>
      <c r="G6" t="str">
        <f>IF(A6="","",F6&amp;"|"&amp;COUNTIF($F$3:F6,F6))</f>
        <v>현금|1</v>
      </c>
    </row>
    <row r="7" spans="1:7" ht="12" customHeight="1">
      <c r="A7" s="119" t="s">
        <v>55</v>
      </c>
      <c r="B7" s="120"/>
      <c r="C7" s="120" t="s">
        <v>219</v>
      </c>
      <c r="D7" s="120"/>
      <c r="E7" s="120" t="s">
        <v>220</v>
      </c>
      <c r="F7" t="str">
        <f t="shared" si="0"/>
        <v>보통예금</v>
      </c>
      <c r="G7" t="str">
        <f>IF(A7="","",F7&amp;"|"&amp;COUNTIF($F$3:F7,F7))</f>
        <v>보통예금|1</v>
      </c>
    </row>
    <row r="8" spans="1:7" ht="12" customHeight="1">
      <c r="A8" s="119" t="s">
        <v>56</v>
      </c>
      <c r="B8" s="120"/>
      <c r="C8" s="120" t="s">
        <v>221</v>
      </c>
      <c r="D8" s="120"/>
      <c r="E8" s="120" t="s">
        <v>222</v>
      </c>
      <c r="F8" t="str">
        <f t="shared" si="0"/>
        <v>단기금융상품</v>
      </c>
      <c r="G8" t="str">
        <f>IF(A8="","",F8&amp;"|"&amp;COUNTIF($F$3:F8,F8))</f>
        <v>단기금융상품|1</v>
      </c>
    </row>
    <row r="9" spans="1:7" ht="12" customHeight="1">
      <c r="A9" s="119" t="s">
        <v>57</v>
      </c>
      <c r="B9" s="120"/>
      <c r="C9" s="120" t="s">
        <v>223</v>
      </c>
      <c r="D9" s="120"/>
      <c r="E9" s="120" t="s">
        <v>224</v>
      </c>
      <c r="F9" t="str">
        <f t="shared" si="0"/>
        <v>외화보통예금</v>
      </c>
      <c r="G9" t="str">
        <f>IF(A9="","",F9&amp;"|"&amp;COUNTIF($F$3:F9,F9))</f>
        <v>외화보통예금|1</v>
      </c>
    </row>
    <row r="10" spans="1:7" ht="12" customHeight="1">
      <c r="A10" s="119" t="s">
        <v>58</v>
      </c>
      <c r="B10" s="120" t="s">
        <v>225</v>
      </c>
      <c r="C10" s="120"/>
      <c r="D10" s="120" t="s">
        <v>226</v>
      </c>
      <c r="E10" s="120"/>
      <c r="F10" t="str">
        <f t="shared" si="0"/>
        <v>외상매출금</v>
      </c>
      <c r="G10" t="str">
        <f>IF(A10="","",F10&amp;"|"&amp;COUNTIF($F$3:F10,F10))</f>
        <v>외상매출금|1</v>
      </c>
    </row>
    <row r="11" spans="1:7" ht="12" customHeight="1">
      <c r="A11" s="119" t="s">
        <v>59</v>
      </c>
      <c r="B11" s="120" t="s">
        <v>227</v>
      </c>
      <c r="C11" s="120" t="s">
        <v>228</v>
      </c>
      <c r="D11" s="120" t="s">
        <v>227</v>
      </c>
      <c r="E11" s="120" t="s">
        <v>229</v>
      </c>
      <c r="F11" t="str">
        <f t="shared" si="0"/>
        <v>대손충당금</v>
      </c>
      <c r="G11" t="str">
        <f>IF(A11="","",F11&amp;"|"&amp;COUNTIF($F$3:F11,F11))</f>
        <v>대손충당금|1</v>
      </c>
    </row>
    <row r="12" spans="1:7" ht="12" customHeight="1">
      <c r="A12" s="119" t="s">
        <v>60</v>
      </c>
      <c r="B12" s="120" t="s">
        <v>230</v>
      </c>
      <c r="C12" s="120"/>
      <c r="D12" s="120" t="s">
        <v>231</v>
      </c>
      <c r="E12" s="120"/>
      <c r="F12" t="str">
        <f t="shared" si="0"/>
        <v>받을어음</v>
      </c>
      <c r="G12" t="str">
        <f>IF(A12="","",F12&amp;"|"&amp;COUNTIF($F$3:F12,F12))</f>
        <v>받을어음|1</v>
      </c>
    </row>
    <row r="13" spans="1:7" ht="12" customHeight="1">
      <c r="A13" s="119" t="s">
        <v>59</v>
      </c>
      <c r="B13" s="120" t="s">
        <v>232</v>
      </c>
      <c r="C13" s="120" t="s">
        <v>233</v>
      </c>
      <c r="D13" s="120" t="s">
        <v>232</v>
      </c>
      <c r="E13" s="120" t="s">
        <v>234</v>
      </c>
      <c r="F13" t="str">
        <f t="shared" si="0"/>
        <v>대손충당금</v>
      </c>
      <c r="G13" t="str">
        <f>IF(A13="","",F13&amp;"|"&amp;COUNTIF($F$3:F13,F13))</f>
        <v>대손충당금|2</v>
      </c>
    </row>
    <row r="14" spans="1:7" ht="12" customHeight="1">
      <c r="A14" s="122" t="s">
        <v>62</v>
      </c>
      <c r="B14" s="120"/>
      <c r="C14" s="120" t="s">
        <v>235</v>
      </c>
      <c r="D14" s="120"/>
      <c r="E14" s="120" t="s">
        <v>235</v>
      </c>
      <c r="F14" t="str">
        <f t="shared" si="0"/>
        <v>미수수익</v>
      </c>
      <c r="G14" t="str">
        <f>IF(A14="","",F14&amp;"|"&amp;COUNTIF($F$3:F14,F14))</f>
        <v>미수수익|1</v>
      </c>
    </row>
    <row r="15" spans="1:7" ht="12" customHeight="1">
      <c r="A15" s="119" t="s">
        <v>64</v>
      </c>
      <c r="B15" s="120"/>
      <c r="C15" s="120" t="s">
        <v>236</v>
      </c>
      <c r="D15" s="120"/>
      <c r="E15" s="120" t="s">
        <v>237</v>
      </c>
      <c r="F15" t="str">
        <f t="shared" si="0"/>
        <v>미수금</v>
      </c>
      <c r="G15" t="str">
        <f>IF(A15="","",F15&amp;"|"&amp;COUNTIF($F$3:F15,F15))</f>
        <v>미수금|1</v>
      </c>
    </row>
    <row r="16" spans="1:7" ht="12" customHeight="1">
      <c r="A16" s="119" t="s">
        <v>66</v>
      </c>
      <c r="B16" s="120"/>
      <c r="C16" s="120" t="s">
        <v>238</v>
      </c>
      <c r="D16" s="120"/>
      <c r="E16" s="120" t="s">
        <v>239</v>
      </c>
      <c r="F16" t="str">
        <f t="shared" si="0"/>
        <v>선급금</v>
      </c>
      <c r="G16" t="str">
        <f>IF(A16="","",F16&amp;"|"&amp;COUNTIF($F$3:F16,F16))</f>
        <v>선급금|1</v>
      </c>
    </row>
    <row r="17" spans="1:7" ht="12" customHeight="1">
      <c r="A17" s="119" t="s">
        <v>68</v>
      </c>
      <c r="B17" s="120"/>
      <c r="C17" s="120" t="s">
        <v>240</v>
      </c>
      <c r="D17" s="120"/>
      <c r="E17" s="120" t="s">
        <v>241</v>
      </c>
      <c r="F17" t="str">
        <f t="shared" si="0"/>
        <v>선급비용</v>
      </c>
      <c r="G17" t="str">
        <f>IF(A17="","",F17&amp;"|"&amp;COUNTIF($F$3:F17,F17))</f>
        <v>선급비용|1</v>
      </c>
    </row>
    <row r="18" spans="1:7" ht="12" customHeight="1">
      <c r="A18" s="119" t="s">
        <v>70</v>
      </c>
      <c r="B18" s="120"/>
      <c r="C18" s="120" t="s">
        <v>242</v>
      </c>
      <c r="D18" s="120"/>
      <c r="E18" s="120"/>
      <c r="F18" t="str">
        <f t="shared" si="0"/>
        <v>가지급금</v>
      </c>
      <c r="G18" t="str">
        <f>IF(A18="","",F18&amp;"|"&amp;COUNTIF($F$3:F18,F18))</f>
        <v>가지급금|1</v>
      </c>
    </row>
    <row r="19" spans="1:7" ht="12" customHeight="1">
      <c r="A19" s="119" t="s">
        <v>72</v>
      </c>
      <c r="B19" s="120"/>
      <c r="C19" s="120" t="s">
        <v>243</v>
      </c>
      <c r="D19" s="120"/>
      <c r="E19" s="120"/>
      <c r="F19" t="str">
        <f t="shared" si="0"/>
        <v>부가세대급금</v>
      </c>
      <c r="G19" t="str">
        <f>IF(A19="","",F19&amp;"|"&amp;COUNTIF($F$3:F19,F19))</f>
        <v>부가세대급금|1</v>
      </c>
    </row>
    <row r="20" spans="1:7" ht="12" customHeight="1">
      <c r="A20" s="121" t="s">
        <v>73</v>
      </c>
      <c r="B20" s="120"/>
      <c r="C20" s="120" t="s">
        <v>244</v>
      </c>
      <c r="D20" s="120"/>
      <c r="E20" s="120" t="s">
        <v>245</v>
      </c>
      <c r="F20" t="str">
        <f t="shared" si="0"/>
        <v>선납세금</v>
      </c>
      <c r="G20" t="str">
        <f>IF(A20="","",F20&amp;"|"&amp;COUNTIF($F$3:F20,F20))</f>
        <v>선납세금|1</v>
      </c>
    </row>
    <row r="21" spans="1:7" ht="12" customHeight="1">
      <c r="A21" s="119" t="s">
        <v>75</v>
      </c>
      <c r="B21" s="120"/>
      <c r="C21" s="120" t="s">
        <v>246</v>
      </c>
      <c r="D21" s="120"/>
      <c r="E21" s="120" t="s">
        <v>247</v>
      </c>
      <c r="F21" t="str">
        <f t="shared" si="0"/>
        <v>(2)재고자산</v>
      </c>
      <c r="G21" t="str">
        <f>IF(A21="","",F21&amp;"|"&amp;COUNTIF($F$3:F21,F21))</f>
        <v>(2)재고자산|1</v>
      </c>
    </row>
    <row r="22" spans="1:7" ht="12" customHeight="1">
      <c r="A22" s="121" t="s">
        <v>76</v>
      </c>
      <c r="B22" s="120"/>
      <c r="C22" s="120" t="s">
        <v>246</v>
      </c>
      <c r="D22" s="120"/>
      <c r="E22" s="120" t="s">
        <v>247</v>
      </c>
      <c r="F22" t="str">
        <f t="shared" si="0"/>
        <v>상품</v>
      </c>
      <c r="G22" t="str">
        <f>IF(A22="","",F22&amp;"|"&amp;COUNTIF($F$3:F22,F22))</f>
        <v>상품|1</v>
      </c>
    </row>
    <row r="23" spans="1:7" ht="12" customHeight="1">
      <c r="A23" s="119" t="s">
        <v>77</v>
      </c>
      <c r="B23" s="120"/>
      <c r="C23" s="120" t="s">
        <v>248</v>
      </c>
      <c r="D23" s="120"/>
      <c r="E23" s="120" t="s">
        <v>249</v>
      </c>
      <c r="F23" t="str">
        <f t="shared" si="0"/>
        <v>Ⅱ.비유동자산</v>
      </c>
      <c r="G23" t="str">
        <f>IF(A23="","",F23&amp;"|"&amp;COUNTIF($F$3:F23,F23))</f>
        <v>Ⅱ.비유동자산|1</v>
      </c>
    </row>
    <row r="24" spans="1:7" ht="12" customHeight="1">
      <c r="A24" s="122" t="s">
        <v>78</v>
      </c>
      <c r="B24" s="120"/>
      <c r="C24" s="120" t="s">
        <v>250</v>
      </c>
      <c r="D24" s="120"/>
      <c r="E24" s="120" t="s">
        <v>250</v>
      </c>
      <c r="F24" t="str">
        <f t="shared" si="0"/>
        <v>(1)투자자산</v>
      </c>
      <c r="G24" t="str">
        <f>IF(A24="","",F24&amp;"|"&amp;COUNTIF($F$3:F24,F24))</f>
        <v>(1)투자자산|1</v>
      </c>
    </row>
    <row r="25" spans="1:7" ht="12" customHeight="1">
      <c r="A25" s="121" t="s">
        <v>79</v>
      </c>
      <c r="B25" s="120"/>
      <c r="C25" s="120" t="s">
        <v>250</v>
      </c>
      <c r="D25" s="120"/>
      <c r="E25" s="120" t="s">
        <v>250</v>
      </c>
      <c r="F25" t="str">
        <f t="shared" si="0"/>
        <v>매도가능증권</v>
      </c>
      <c r="G25" t="str">
        <f>IF(A25="","",F25&amp;"|"&amp;COUNTIF($F$3:F25,F25))</f>
        <v>매도가능증권|1</v>
      </c>
    </row>
    <row r="26" spans="1:7" ht="12" customHeight="1">
      <c r="A26" s="119" t="s">
        <v>80</v>
      </c>
      <c r="B26" s="120"/>
      <c r="C26" s="120" t="s">
        <v>251</v>
      </c>
      <c r="D26" s="120"/>
      <c r="E26" s="120" t="s">
        <v>252</v>
      </c>
      <c r="F26" t="str">
        <f t="shared" si="0"/>
        <v>(2)유형자산</v>
      </c>
      <c r="G26" t="str">
        <f>IF(A26="","",F26&amp;"|"&amp;COUNTIF($F$3:F26,F26))</f>
        <v>(2)유형자산|1</v>
      </c>
    </row>
    <row r="27" spans="1:7" ht="12" customHeight="1">
      <c r="A27" s="122" t="s">
        <v>81</v>
      </c>
      <c r="B27" s="120"/>
      <c r="C27" s="120" t="s">
        <v>253</v>
      </c>
      <c r="D27" s="120"/>
      <c r="E27" s="120" t="s">
        <v>253</v>
      </c>
      <c r="F27" t="str">
        <f t="shared" si="0"/>
        <v>토지</v>
      </c>
      <c r="G27" t="str">
        <f>IF(A27="","",F27&amp;"|"&amp;COUNTIF($F$3:F27,F27))</f>
        <v>토지|1</v>
      </c>
    </row>
    <row r="28" spans="1:7" ht="12" customHeight="1">
      <c r="A28" s="119" t="s">
        <v>82</v>
      </c>
      <c r="B28" s="120" t="s">
        <v>254</v>
      </c>
      <c r="C28" s="120"/>
      <c r="D28" s="120" t="s">
        <v>254</v>
      </c>
      <c r="E28" s="120"/>
      <c r="F28" t="str">
        <f t="shared" si="0"/>
        <v>건물</v>
      </c>
      <c r="G28" t="str">
        <f>IF(A28="","",F28&amp;"|"&amp;COUNTIF($F$3:F28,F28))</f>
        <v>건물|1</v>
      </c>
    </row>
    <row r="29" spans="1:7" ht="12" customHeight="1">
      <c r="A29" s="119" t="s">
        <v>83</v>
      </c>
      <c r="B29" s="120" t="s">
        <v>255</v>
      </c>
      <c r="C29" s="120" t="s">
        <v>256</v>
      </c>
      <c r="D29" s="120" t="s">
        <v>257</v>
      </c>
      <c r="E29" s="120" t="s">
        <v>258</v>
      </c>
      <c r="F29" t="str">
        <f t="shared" si="0"/>
        <v>감가상각누계액</v>
      </c>
      <c r="G29" t="str">
        <f>IF(A29="","",F29&amp;"|"&amp;COUNTIF($F$3:F29,F29))</f>
        <v>감가상각누계액|1</v>
      </c>
    </row>
    <row r="30" spans="1:7" ht="12" customHeight="1">
      <c r="A30" s="119" t="s">
        <v>84</v>
      </c>
      <c r="B30" s="120" t="s">
        <v>259</v>
      </c>
      <c r="C30" s="120"/>
      <c r="D30" s="120" t="s">
        <v>259</v>
      </c>
      <c r="E30" s="120"/>
      <c r="F30" t="str">
        <f t="shared" si="0"/>
        <v>기계장치</v>
      </c>
      <c r="G30" t="str">
        <f>IF(A30="","",F30&amp;"|"&amp;COUNTIF($F$3:F30,F30))</f>
        <v>기계장치|1</v>
      </c>
    </row>
    <row r="31" spans="1:7" ht="12" customHeight="1">
      <c r="A31" s="119" t="s">
        <v>83</v>
      </c>
      <c r="B31" s="120" t="s">
        <v>260</v>
      </c>
      <c r="C31" s="120" t="s">
        <v>261</v>
      </c>
      <c r="D31" s="120" t="s">
        <v>260</v>
      </c>
      <c r="E31" s="120" t="s">
        <v>261</v>
      </c>
      <c r="F31" t="str">
        <f t="shared" si="0"/>
        <v>감가상각누계액</v>
      </c>
      <c r="G31" t="str">
        <f>IF(A31="","",F31&amp;"|"&amp;COUNTIF($F$3:F31,F31))</f>
        <v>감가상각누계액|2</v>
      </c>
    </row>
    <row r="32" spans="1:7" ht="12" customHeight="1">
      <c r="A32" s="119" t="s">
        <v>85</v>
      </c>
      <c r="B32" s="120" t="s">
        <v>262</v>
      </c>
      <c r="C32" s="120"/>
      <c r="D32" s="120" t="s">
        <v>263</v>
      </c>
      <c r="E32" s="120"/>
      <c r="F32" t="str">
        <f t="shared" si="0"/>
        <v>차량운반구</v>
      </c>
      <c r="G32" t="str">
        <f>IF(A32="","",F32&amp;"|"&amp;COUNTIF($F$3:F32,F32))</f>
        <v>차량운반구|1</v>
      </c>
    </row>
    <row r="33" spans="1:7" ht="12" customHeight="1">
      <c r="A33" s="119" t="s">
        <v>83</v>
      </c>
      <c r="B33" s="120" t="s">
        <v>264</v>
      </c>
      <c r="C33" s="120" t="s">
        <v>265</v>
      </c>
      <c r="D33" s="120" t="s">
        <v>266</v>
      </c>
      <c r="E33" s="120" t="s">
        <v>267</v>
      </c>
      <c r="F33" t="str">
        <f t="shared" si="0"/>
        <v>감가상각누계액</v>
      </c>
      <c r="G33" t="str">
        <f>IF(A33="","",F33&amp;"|"&amp;COUNTIF($F$3:F33,F33))</f>
        <v>감가상각누계액|3</v>
      </c>
    </row>
    <row r="34" spans="1:7" ht="12" customHeight="1">
      <c r="A34" s="119" t="s">
        <v>86</v>
      </c>
      <c r="B34" s="120" t="s">
        <v>268</v>
      </c>
      <c r="C34" s="120"/>
      <c r="D34" s="120" t="s">
        <v>268</v>
      </c>
      <c r="E34" s="120"/>
      <c r="F34" t="str">
        <f t="shared" si="0"/>
        <v>비품</v>
      </c>
      <c r="G34" t="str">
        <f>IF(A34="","",F34&amp;"|"&amp;COUNTIF($F$3:F34,F34))</f>
        <v>비품|1</v>
      </c>
    </row>
    <row r="35" spans="1:7" ht="12" customHeight="1">
      <c r="A35" s="119" t="s">
        <v>83</v>
      </c>
      <c r="B35" s="120" t="s">
        <v>269</v>
      </c>
      <c r="C35" s="120" t="s">
        <v>270</v>
      </c>
      <c r="D35" s="120" t="s">
        <v>271</v>
      </c>
      <c r="E35" s="120" t="s">
        <v>272</v>
      </c>
      <c r="F35" t="str">
        <f t="shared" ref="F35:F70" si="1">IF(A35="","",SUBSTITUTE(A35," ",""))</f>
        <v>감가상각누계액</v>
      </c>
      <c r="G35" t="str">
        <f>IF(A35="","",F35&amp;"|"&amp;COUNTIF($F$3:F35,F35))</f>
        <v>감가상각누계액|4</v>
      </c>
    </row>
    <row r="36" spans="1:7" ht="12" customHeight="1">
      <c r="A36" s="119" t="s">
        <v>87</v>
      </c>
      <c r="B36" s="120"/>
      <c r="C36" s="120"/>
      <c r="D36" s="120"/>
      <c r="E36" s="120"/>
      <c r="F36" t="str">
        <f t="shared" si="1"/>
        <v>(3)무형자산</v>
      </c>
      <c r="G36" t="str">
        <f>IF(A36="","",F36&amp;"|"&amp;COUNTIF($F$3:F36,F36))</f>
        <v>(3)무형자산|1</v>
      </c>
    </row>
    <row r="37" spans="1:7" ht="12" customHeight="1">
      <c r="A37" s="122" t="s">
        <v>88</v>
      </c>
      <c r="B37" s="120"/>
      <c r="C37" s="120" t="s">
        <v>273</v>
      </c>
      <c r="D37" s="120"/>
      <c r="E37" s="120" t="s">
        <v>273</v>
      </c>
      <c r="F37" t="str">
        <f t="shared" si="1"/>
        <v>(4)기타비유동자산</v>
      </c>
      <c r="G37" t="str">
        <f>IF(A37="","",F37&amp;"|"&amp;COUNTIF($F$3:F37,F37))</f>
        <v>(4)기타비유동자산|1</v>
      </c>
    </row>
    <row r="38" spans="1:7" ht="12" customHeight="1">
      <c r="A38" s="122" t="s">
        <v>90</v>
      </c>
      <c r="B38" s="120"/>
      <c r="C38" s="120" t="s">
        <v>274</v>
      </c>
      <c r="D38" s="120"/>
      <c r="E38" s="120" t="s">
        <v>274</v>
      </c>
      <c r="F38" t="str">
        <f t="shared" si="1"/>
        <v>임차보증금</v>
      </c>
      <c r="G38" t="str">
        <f>IF(A38="","",F38&amp;"|"&amp;COUNTIF($F$3:F38,F38))</f>
        <v>임차보증금|1</v>
      </c>
    </row>
    <row r="39" spans="1:7" ht="12" customHeight="1">
      <c r="A39" s="122" t="s">
        <v>92</v>
      </c>
      <c r="B39" s="120"/>
      <c r="C39" s="120" t="s">
        <v>275</v>
      </c>
      <c r="D39" s="120"/>
      <c r="E39" s="120" t="s">
        <v>275</v>
      </c>
      <c r="F39" t="str">
        <f t="shared" si="1"/>
        <v>기타보증금</v>
      </c>
      <c r="G39" t="str">
        <f>IF(A39="","",F39&amp;"|"&amp;COUNTIF($F$3:F39,F39))</f>
        <v>기타보증금|1</v>
      </c>
    </row>
    <row r="40" spans="1:7" ht="12" customHeight="1">
      <c r="A40" s="122" t="s">
        <v>94</v>
      </c>
      <c r="B40" s="120"/>
      <c r="C40" s="120" t="s">
        <v>276</v>
      </c>
      <c r="D40" s="120"/>
      <c r="E40" s="120" t="s">
        <v>276</v>
      </c>
      <c r="F40" t="str">
        <f t="shared" si="1"/>
        <v>전신전화가입권</v>
      </c>
      <c r="G40" t="str">
        <f>IF(A40="","",F40&amp;"|"&amp;COUNTIF($F$3:F40,F40))</f>
        <v>전신전화가입권|1</v>
      </c>
    </row>
    <row r="41" spans="1:7" ht="12" customHeight="1">
      <c r="A41" s="119" t="s">
        <v>95</v>
      </c>
      <c r="B41" s="120"/>
      <c r="C41" s="120" t="s">
        <v>277</v>
      </c>
      <c r="D41" s="120"/>
      <c r="E41" s="120" t="s">
        <v>278</v>
      </c>
      <c r="F41" t="str">
        <f t="shared" si="1"/>
        <v>자산총계</v>
      </c>
      <c r="G41" t="str">
        <f>IF(A41="","",F41&amp;"|"&amp;COUNTIF($F$3:F41,F41))</f>
        <v>자산총계|1</v>
      </c>
    </row>
    <row r="42" spans="1:7" ht="12" customHeight="1">
      <c r="A42" s="119" t="s">
        <v>96</v>
      </c>
      <c r="B42" s="120"/>
      <c r="C42" s="120"/>
      <c r="D42" s="120"/>
      <c r="E42" s="120"/>
      <c r="F42" t="str">
        <f t="shared" si="1"/>
        <v>부채</v>
      </c>
      <c r="G42" t="str">
        <f>IF(A42="","",F42&amp;"|"&amp;COUNTIF($F$3:F42,F42))</f>
        <v>부채|1</v>
      </c>
    </row>
    <row r="43" spans="1:7" ht="12" customHeight="1">
      <c r="A43" s="119" t="s">
        <v>97</v>
      </c>
      <c r="B43" s="120"/>
      <c r="C43" s="120" t="s">
        <v>279</v>
      </c>
      <c r="D43" s="120"/>
      <c r="E43" s="120" t="s">
        <v>280</v>
      </c>
      <c r="F43" t="str">
        <f t="shared" si="1"/>
        <v>Ⅰ.유동부채</v>
      </c>
      <c r="G43" t="str">
        <f>IF(A43="","",F43&amp;"|"&amp;COUNTIF($F$3:F43,F43))</f>
        <v>Ⅰ.유동부채|1</v>
      </c>
    </row>
    <row r="44" spans="1:7" ht="12" customHeight="1">
      <c r="A44" s="119" t="s">
        <v>98</v>
      </c>
      <c r="B44" s="120"/>
      <c r="C44" s="120" t="s">
        <v>281</v>
      </c>
      <c r="D44" s="120"/>
      <c r="E44" s="120" t="s">
        <v>282</v>
      </c>
      <c r="F44" t="str">
        <f t="shared" si="1"/>
        <v>외상매입금</v>
      </c>
      <c r="G44" t="str">
        <f>IF(A44="","",F44&amp;"|"&amp;COUNTIF($F$3:F44,F44))</f>
        <v>외상매입금|1</v>
      </c>
    </row>
    <row r="45" spans="1:7" ht="12" customHeight="1">
      <c r="A45" s="119" t="s">
        <v>99</v>
      </c>
      <c r="B45" s="120"/>
      <c r="C45" s="120" t="s">
        <v>283</v>
      </c>
      <c r="D45" s="120"/>
      <c r="E45" s="120" t="s">
        <v>284</v>
      </c>
      <c r="F45" t="str">
        <f t="shared" si="1"/>
        <v>미지급금</v>
      </c>
      <c r="G45" t="str">
        <f>IF(A45="","",F45&amp;"|"&amp;COUNTIF($F$3:F45,F45))</f>
        <v>미지급금|1</v>
      </c>
    </row>
    <row r="46" spans="1:7" ht="12" customHeight="1">
      <c r="A46" s="122" t="s">
        <v>100</v>
      </c>
      <c r="B46" s="120"/>
      <c r="C46" s="120" t="s">
        <v>285</v>
      </c>
      <c r="D46" s="120"/>
      <c r="E46" s="120" t="s">
        <v>286</v>
      </c>
      <c r="F46" t="str">
        <f t="shared" si="1"/>
        <v>예수금</v>
      </c>
      <c r="G46" t="str">
        <f>IF(A46="","",F46&amp;"|"&amp;COUNTIF($F$3:F46,F46))</f>
        <v>예수금|1</v>
      </c>
    </row>
    <row r="47" spans="1:7" ht="12" customHeight="1">
      <c r="A47" s="119" t="s">
        <v>102</v>
      </c>
      <c r="B47" s="120"/>
      <c r="C47" s="120" t="s">
        <v>287</v>
      </c>
      <c r="D47" s="120"/>
      <c r="E47" s="120"/>
      <c r="F47" t="str">
        <f t="shared" si="1"/>
        <v>부가세예수금</v>
      </c>
      <c r="G47" t="str">
        <f>IF(A47="","",F47&amp;"|"&amp;COUNTIF($F$3:F47,F47))</f>
        <v>부가세예수금|1</v>
      </c>
    </row>
    <row r="48" spans="1:7" ht="12" customHeight="1">
      <c r="A48" s="119" t="s">
        <v>103</v>
      </c>
      <c r="B48" s="120"/>
      <c r="C48" s="120" t="s">
        <v>288</v>
      </c>
      <c r="D48" s="120"/>
      <c r="E48" s="120"/>
      <c r="F48" t="str">
        <f t="shared" si="1"/>
        <v>가수금</v>
      </c>
      <c r="G48" t="str">
        <f>IF(A48="","",F48&amp;"|"&amp;COUNTIF($F$3:F48,F48))</f>
        <v>가수금|1</v>
      </c>
    </row>
    <row r="49" spans="1:7" ht="12" customHeight="1">
      <c r="A49" s="119" t="s">
        <v>105</v>
      </c>
      <c r="B49" s="120"/>
      <c r="C49" s="120" t="s">
        <v>289</v>
      </c>
      <c r="D49" s="120"/>
      <c r="E49" s="120" t="s">
        <v>289</v>
      </c>
      <c r="F49" t="str">
        <f t="shared" si="1"/>
        <v>선수금</v>
      </c>
      <c r="G49" t="str">
        <f>IF(A49="","",F49&amp;"|"&amp;COUNTIF($F$3:F49,F49))</f>
        <v>선수금|1</v>
      </c>
    </row>
    <row r="50" spans="1:7" ht="12" customHeight="1">
      <c r="A50" s="121" t="s">
        <v>106</v>
      </c>
      <c r="B50" s="120"/>
      <c r="C50" s="120"/>
      <c r="D50" s="120"/>
      <c r="E50" s="120" t="s">
        <v>290</v>
      </c>
      <c r="F50" t="str">
        <f t="shared" si="1"/>
        <v>미지급세금</v>
      </c>
      <c r="G50" t="str">
        <f>IF(A50="","",F50&amp;"|"&amp;COUNTIF($F$3:F50,F50))</f>
        <v>미지급세금|1</v>
      </c>
    </row>
    <row r="51" spans="1:7" ht="12" customHeight="1">
      <c r="A51" s="119" t="s">
        <v>107</v>
      </c>
      <c r="B51" s="120"/>
      <c r="C51" s="120" t="s">
        <v>291</v>
      </c>
      <c r="D51" s="120"/>
      <c r="E51" s="120" t="s">
        <v>292</v>
      </c>
      <c r="F51" t="str">
        <f t="shared" si="1"/>
        <v>미지급비용</v>
      </c>
      <c r="G51" t="str">
        <f>IF(A51="","",F51&amp;"|"&amp;COUNTIF($F$3:F51,F51))</f>
        <v>미지급비용|1</v>
      </c>
    </row>
    <row r="52" spans="1:7" ht="12" customHeight="1">
      <c r="A52" s="119" t="s">
        <v>110</v>
      </c>
      <c r="B52" s="120"/>
      <c r="C52" s="120" t="s">
        <v>293</v>
      </c>
      <c r="D52" s="120"/>
      <c r="E52" s="120" t="s">
        <v>294</v>
      </c>
      <c r="F52" t="str">
        <f t="shared" si="1"/>
        <v>Ⅱ.비유동부채</v>
      </c>
      <c r="G52" t="str">
        <f>IF(A52="","",F52&amp;"|"&amp;COUNTIF($F$3:F52,F52))</f>
        <v>Ⅱ.비유동부채|1</v>
      </c>
    </row>
    <row r="53" spans="1:7" ht="12" customHeight="1">
      <c r="A53" s="119" t="s">
        <v>111</v>
      </c>
      <c r="B53" s="120"/>
      <c r="C53" s="120"/>
      <c r="D53" s="120"/>
      <c r="E53" s="120" t="s">
        <v>295</v>
      </c>
      <c r="F53" t="str">
        <f t="shared" si="1"/>
        <v>퇴직급여충당금</v>
      </c>
      <c r="G53" t="str">
        <f>IF(A53="","",F53&amp;"|"&amp;COUNTIF($F$3:F53,F53))</f>
        <v>퇴직급여충당금|1</v>
      </c>
    </row>
    <row r="54" spans="1:7" ht="12" customHeight="1">
      <c r="A54" s="119" t="s">
        <v>112</v>
      </c>
      <c r="B54" s="120"/>
      <c r="C54" s="120" t="s">
        <v>293</v>
      </c>
      <c r="D54" s="120"/>
      <c r="E54" s="120" t="s">
        <v>293</v>
      </c>
      <c r="F54" t="str">
        <f t="shared" si="1"/>
        <v>국민연금전환금</v>
      </c>
      <c r="G54" t="str">
        <f>IF(A54="","",F54&amp;"|"&amp;COUNTIF($F$3:F54,F54))</f>
        <v>국민연금전환금|1</v>
      </c>
    </row>
    <row r="55" spans="1:7" ht="12" customHeight="1">
      <c r="A55" s="121" t="s">
        <v>113</v>
      </c>
      <c r="B55" s="120"/>
      <c r="C55" s="120" t="s">
        <v>296</v>
      </c>
      <c r="D55" s="120"/>
      <c r="E55" s="120" t="s">
        <v>297</v>
      </c>
      <c r="F55" t="str">
        <f t="shared" si="1"/>
        <v>부채총계</v>
      </c>
      <c r="G55" t="str">
        <f>IF(A55="","",F55&amp;"|"&amp;COUNTIF($F$3:F55,F55))</f>
        <v>부채총계|1</v>
      </c>
    </row>
    <row r="56" spans="1:7" ht="12" customHeight="1">
      <c r="A56" s="122" t="s">
        <v>114</v>
      </c>
      <c r="B56" s="120"/>
      <c r="C56" s="120"/>
      <c r="D56" s="120"/>
      <c r="E56" s="120"/>
      <c r="F56" t="str">
        <f t="shared" si="1"/>
        <v>자본</v>
      </c>
      <c r="G56" t="str">
        <f>IF(A56="","",F56&amp;"|"&amp;COUNTIF($F$3:F56,F56))</f>
        <v>자본|1</v>
      </c>
    </row>
    <row r="57" spans="1:7" ht="12" customHeight="1">
      <c r="A57" s="119" t="s">
        <v>115</v>
      </c>
      <c r="B57" s="120"/>
      <c r="C57" s="120" t="s">
        <v>298</v>
      </c>
      <c r="D57" s="120"/>
      <c r="E57" s="120" t="s">
        <v>298</v>
      </c>
      <c r="F57" t="str">
        <f t="shared" si="1"/>
        <v>Ⅰ.자본금</v>
      </c>
      <c r="G57" t="str">
        <f>IF(A57="","",F57&amp;"|"&amp;COUNTIF($F$3:F57,F57))</f>
        <v>Ⅰ.자본금|1</v>
      </c>
    </row>
    <row r="58" spans="1:7" ht="12" customHeight="1">
      <c r="A58" s="119" t="s">
        <v>116</v>
      </c>
      <c r="B58" s="120"/>
      <c r="C58" s="120" t="s">
        <v>298</v>
      </c>
      <c r="D58" s="120"/>
      <c r="E58" s="120" t="s">
        <v>298</v>
      </c>
      <c r="F58" t="str">
        <f t="shared" si="1"/>
        <v>자본금</v>
      </c>
      <c r="G58" t="str">
        <f>IF(A58="","",F58&amp;"|"&amp;COUNTIF($F$3:F58,F58))</f>
        <v>자본금|1</v>
      </c>
    </row>
    <row r="59" spans="1:7" ht="12" customHeight="1">
      <c r="A59" s="119" t="s">
        <v>117</v>
      </c>
      <c r="B59" s="120"/>
      <c r="C59" s="120" t="s">
        <v>299</v>
      </c>
      <c r="D59" s="120"/>
      <c r="E59" s="120" t="s">
        <v>299</v>
      </c>
      <c r="F59" t="str">
        <f t="shared" si="1"/>
        <v>Ⅱ.자본잉여금</v>
      </c>
      <c r="G59" t="str">
        <f>IF(A59="","",F59&amp;"|"&amp;COUNTIF($F$3:F59,F59))</f>
        <v>Ⅱ.자본잉여금|1</v>
      </c>
    </row>
    <row r="60" spans="1:7" ht="12" customHeight="1">
      <c r="A60" s="119" t="s">
        <v>118</v>
      </c>
      <c r="B60" s="120"/>
      <c r="C60" s="120" t="s">
        <v>299</v>
      </c>
      <c r="D60" s="120"/>
      <c r="E60" s="120" t="s">
        <v>299</v>
      </c>
      <c r="F60" t="str">
        <f t="shared" si="1"/>
        <v>주식발행초과금</v>
      </c>
      <c r="G60" t="str">
        <f>IF(A60="","",F60&amp;"|"&amp;COUNTIF($F$3:F60,F60))</f>
        <v>주식발행초과금|1</v>
      </c>
    </row>
    <row r="61" spans="1:7" ht="12" customHeight="1">
      <c r="A61" s="121" t="s">
        <v>119</v>
      </c>
      <c r="B61" s="120"/>
      <c r="C61" s="120"/>
      <c r="D61" s="120"/>
      <c r="E61" s="120"/>
      <c r="F61" t="str">
        <f t="shared" si="1"/>
        <v>Ⅲ.자본조정</v>
      </c>
      <c r="G61" t="str">
        <f>IF(A61="","",F61&amp;"|"&amp;COUNTIF($F$3:F61,F61))</f>
        <v>Ⅲ.자본조정|1</v>
      </c>
    </row>
    <row r="62" spans="1:7" ht="12" customHeight="1">
      <c r="A62" s="119" t="s">
        <v>120</v>
      </c>
      <c r="B62" s="120"/>
      <c r="C62" s="120"/>
      <c r="D62" s="120"/>
      <c r="E62" s="120"/>
      <c r="F62" t="str">
        <f t="shared" si="1"/>
        <v>Ⅳ.기타포괄손익누계액</v>
      </c>
      <c r="G62" t="str">
        <f>IF(A62="","",F62&amp;"|"&amp;COUNTIF($F$3:F62,F62))</f>
        <v>Ⅳ.기타포괄손익누계액|1</v>
      </c>
    </row>
    <row r="63" spans="1:7" ht="12" customHeight="1">
      <c r="A63" s="122" t="s">
        <v>121</v>
      </c>
      <c r="B63" s="120"/>
      <c r="C63" s="120" t="s">
        <v>300</v>
      </c>
      <c r="D63" s="120"/>
      <c r="E63" s="120" t="s">
        <v>301</v>
      </c>
      <c r="F63" t="str">
        <f t="shared" si="1"/>
        <v>Ⅴ.이익잉여금</v>
      </c>
      <c r="G63" t="str">
        <f>IF(A63="","",F63&amp;"|"&amp;COUNTIF($F$3:F63,F63))</f>
        <v>Ⅴ.이익잉여금|1</v>
      </c>
    </row>
    <row r="64" spans="1:7" ht="12" customHeight="1">
      <c r="A64" s="119" t="s">
        <v>122</v>
      </c>
      <c r="B64" s="120"/>
      <c r="C64" s="120" t="s">
        <v>302</v>
      </c>
      <c r="D64" s="120"/>
      <c r="E64" s="120" t="s">
        <v>303</v>
      </c>
      <c r="F64" t="str">
        <f t="shared" si="1"/>
        <v>이익준비금</v>
      </c>
      <c r="G64" t="str">
        <f>IF(A64="","",F64&amp;"|"&amp;COUNTIF($F$3:F64,F64))</f>
        <v>이익준비금|1</v>
      </c>
    </row>
    <row r="65" spans="1:7" ht="12" customHeight="1">
      <c r="A65" s="122" t="s">
        <v>123</v>
      </c>
      <c r="B65" s="120"/>
      <c r="C65" s="120" t="s">
        <v>304</v>
      </c>
      <c r="D65" s="120"/>
      <c r="E65" s="120" t="s">
        <v>305</v>
      </c>
      <c r="F65" t="str">
        <f t="shared" si="1"/>
        <v>미처분이익잉여금</v>
      </c>
      <c r="G65" t="str">
        <f>IF(A65="","",F65&amp;"|"&amp;COUNTIF($F$3:F65,F65))</f>
        <v>미처분이익잉여금|1</v>
      </c>
    </row>
    <row r="66" spans="1:7" ht="12" customHeight="1">
      <c r="A66" s="122" t="s">
        <v>124</v>
      </c>
      <c r="B66" s="120"/>
      <c r="C66" s="120"/>
      <c r="D66" s="120"/>
      <c r="E66" s="120"/>
      <c r="F66" t="str">
        <f t="shared" si="1"/>
        <v>(당기순이익)</v>
      </c>
      <c r="G66" t="str">
        <f>IF(A66="","",F66&amp;"|"&amp;COUNTIF($F$3:F66,F66))</f>
        <v>(당기순이익)|1</v>
      </c>
    </row>
    <row r="67" spans="1:7" ht="12" customHeight="1">
      <c r="A67" s="122" t="s">
        <v>306</v>
      </c>
      <c r="B67" s="120"/>
      <c r="C67" s="120"/>
      <c r="D67" s="120"/>
      <c r="E67" s="120"/>
      <c r="F67" t="str">
        <f t="shared" si="1"/>
        <v>당기:1,851,830,746</v>
      </c>
      <c r="G67" t="str">
        <f>IF(A67="","",F67&amp;"|"&amp;COUNTIF($F$3:F67,F67))</f>
        <v>당기:1,851,830,746|1</v>
      </c>
    </row>
    <row r="68" spans="1:7" ht="12" customHeight="1">
      <c r="A68" s="119" t="s">
        <v>307</v>
      </c>
      <c r="B68" s="120"/>
      <c r="C68" s="120"/>
      <c r="D68" s="120"/>
      <c r="E68" s="120"/>
      <c r="F68" t="str">
        <f t="shared" si="1"/>
        <v>전기:1,412,482,819</v>
      </c>
      <c r="G68" t="str">
        <f>IF(A68="","",F68&amp;"|"&amp;COUNTIF($F$3:F68,F68))</f>
        <v>전기:1,412,482,819|1</v>
      </c>
    </row>
    <row r="69" spans="1:7" ht="12" customHeight="1">
      <c r="A69" s="119" t="s">
        <v>125</v>
      </c>
      <c r="B69" s="120"/>
      <c r="C69" s="120" t="s">
        <v>308</v>
      </c>
      <c r="D69" s="120"/>
      <c r="E69" s="120" t="s">
        <v>309</v>
      </c>
      <c r="F69" t="str">
        <f t="shared" si="1"/>
        <v>자본총계</v>
      </c>
      <c r="G69" t="str">
        <f>IF(A69="","",F69&amp;"|"&amp;COUNTIF($F$3:F69,F69))</f>
        <v>자본총계|1</v>
      </c>
    </row>
    <row r="70" spans="1:7" ht="12" customHeight="1">
      <c r="A70" s="121" t="s">
        <v>126</v>
      </c>
      <c r="B70" s="120"/>
      <c r="C70" s="120" t="s">
        <v>277</v>
      </c>
      <c r="D70" s="120"/>
      <c r="E70" s="120" t="s">
        <v>278</v>
      </c>
      <c r="F70" t="str">
        <f t="shared" si="1"/>
        <v>부채및자본총계</v>
      </c>
      <c r="G70" t="str">
        <f>IF(A70="","",F70&amp;"|"&amp;COUNTIF($F$3:F70,F70))</f>
        <v>부채및자본총계|1</v>
      </c>
    </row>
    <row r="71" spans="1:7" ht="12" customHeight="1">
      <c r="A71" s="119"/>
      <c r="B71" s="120"/>
      <c r="C71" s="120"/>
      <c r="D71" s="120"/>
      <c r="E71" s="120"/>
    </row>
    <row r="72" spans="1:7" ht="12" customHeight="1">
      <c r="A72" s="119"/>
      <c r="B72" s="120"/>
      <c r="C72" s="120"/>
      <c r="D72" s="120"/>
      <c r="E72" s="120"/>
    </row>
    <row r="73" spans="1:7" ht="12" customHeight="1">
      <c r="A73" s="119"/>
      <c r="B73" s="120"/>
      <c r="C73" s="120"/>
      <c r="D73" s="120"/>
      <c r="E73" s="120"/>
    </row>
    <row r="74" spans="1:7" ht="12" customHeight="1">
      <c r="A74" s="119"/>
      <c r="B74" s="120"/>
      <c r="C74" s="120"/>
      <c r="D74" s="120"/>
      <c r="E74" s="120"/>
    </row>
    <row r="75" spans="1:7" ht="11.25" customHeight="1"/>
    <row r="76" spans="1:7" ht="11.25" customHeight="1"/>
    <row r="77" spans="1:7" ht="11.25" customHeight="1"/>
    <row r="78" spans="1:7" ht="11.25" customHeight="1"/>
    <row r="79" spans="1:7" ht="11.25" customHeight="1"/>
    <row r="80" spans="1:7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  <row r="91" ht="11.25" customHeight="1"/>
    <row r="92" ht="11.25" customHeight="1"/>
    <row r="93" ht="11.25" customHeight="1"/>
    <row r="94" ht="11.25" customHeight="1"/>
    <row r="95" ht="11.25" customHeight="1"/>
    <row r="96" ht="11.25" customHeight="1"/>
    <row r="97" ht="11.25" customHeight="1"/>
    <row r="98" ht="11.25" customHeight="1"/>
    <row r="99" ht="11.25" customHeight="1"/>
    <row r="10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80"/>
  <sheetViews>
    <sheetView zoomScaleNormal="100" workbookViewId="0">
      <selection activeCell="C12" sqref="C12"/>
    </sheetView>
  </sheetViews>
  <sheetFormatPr defaultColWidth="15.33203125" defaultRowHeight="11.25"/>
  <cols>
    <col min="1" max="1" width="30" customWidth="1"/>
    <col min="2" max="7" width="20" customWidth="1"/>
    <col min="8" max="8" width="15.6640625" customWidth="1"/>
    <col min="9" max="9" width="13" customWidth="1"/>
    <col min="16" max="17" width="13" hidden="1" customWidth="1"/>
    <col min="257" max="257" width="30" customWidth="1"/>
    <col min="258" max="263" width="20" customWidth="1"/>
    <col min="513" max="513" width="30" customWidth="1"/>
    <col min="514" max="519" width="20" customWidth="1"/>
    <col min="769" max="769" width="30" customWidth="1"/>
    <col min="770" max="775" width="20" customWidth="1"/>
    <col min="1025" max="1025" width="30" customWidth="1"/>
    <col min="1026" max="1031" width="20" customWidth="1"/>
    <col min="1281" max="1281" width="30" customWidth="1"/>
    <col min="1282" max="1287" width="20" customWidth="1"/>
    <col min="1537" max="1537" width="30" customWidth="1"/>
    <col min="1538" max="1543" width="20" customWidth="1"/>
    <col min="1793" max="1793" width="30" customWidth="1"/>
    <col min="1794" max="1799" width="20" customWidth="1"/>
    <col min="2049" max="2049" width="30" customWidth="1"/>
    <col min="2050" max="2055" width="20" customWidth="1"/>
    <col min="2305" max="2305" width="30" customWidth="1"/>
    <col min="2306" max="2311" width="20" customWidth="1"/>
    <col min="2561" max="2561" width="30" customWidth="1"/>
    <col min="2562" max="2567" width="20" customWidth="1"/>
    <col min="2817" max="2817" width="30" customWidth="1"/>
    <col min="2818" max="2823" width="20" customWidth="1"/>
    <col min="3073" max="3073" width="30" customWidth="1"/>
    <col min="3074" max="3079" width="20" customWidth="1"/>
    <col min="3329" max="3329" width="30" customWidth="1"/>
    <col min="3330" max="3335" width="20" customWidth="1"/>
    <col min="3585" max="3585" width="30" customWidth="1"/>
    <col min="3586" max="3591" width="20" customWidth="1"/>
    <col min="3841" max="3841" width="30" customWidth="1"/>
    <col min="3842" max="3847" width="20" customWidth="1"/>
    <col min="4097" max="4097" width="30" customWidth="1"/>
    <col min="4098" max="4103" width="20" customWidth="1"/>
    <col min="4353" max="4353" width="30" customWidth="1"/>
    <col min="4354" max="4359" width="20" customWidth="1"/>
    <col min="4609" max="4609" width="30" customWidth="1"/>
    <col min="4610" max="4615" width="20" customWidth="1"/>
    <col min="4865" max="4865" width="30" customWidth="1"/>
    <col min="4866" max="4871" width="20" customWidth="1"/>
    <col min="5121" max="5121" width="30" customWidth="1"/>
    <col min="5122" max="5127" width="20" customWidth="1"/>
    <col min="5377" max="5377" width="30" customWidth="1"/>
    <col min="5378" max="5383" width="20" customWidth="1"/>
    <col min="5633" max="5633" width="30" customWidth="1"/>
    <col min="5634" max="5639" width="20" customWidth="1"/>
    <col min="5889" max="5889" width="30" customWidth="1"/>
    <col min="5890" max="5895" width="20" customWidth="1"/>
    <col min="6145" max="6145" width="30" customWidth="1"/>
    <col min="6146" max="6151" width="20" customWidth="1"/>
    <col min="6401" max="6401" width="30" customWidth="1"/>
    <col min="6402" max="6407" width="20" customWidth="1"/>
    <col min="6657" max="6657" width="30" customWidth="1"/>
    <col min="6658" max="6663" width="20" customWidth="1"/>
    <col min="6913" max="6913" width="30" customWidth="1"/>
    <col min="6914" max="6919" width="20" customWidth="1"/>
    <col min="7169" max="7169" width="30" customWidth="1"/>
    <col min="7170" max="7175" width="20" customWidth="1"/>
    <col min="7425" max="7425" width="30" customWidth="1"/>
    <col min="7426" max="7431" width="20" customWidth="1"/>
    <col min="7681" max="7681" width="30" customWidth="1"/>
    <col min="7682" max="7687" width="20" customWidth="1"/>
    <col min="7937" max="7937" width="30" customWidth="1"/>
    <col min="7938" max="7943" width="20" customWidth="1"/>
    <col min="8193" max="8193" width="30" customWidth="1"/>
    <col min="8194" max="8199" width="20" customWidth="1"/>
    <col min="8449" max="8449" width="30" customWidth="1"/>
    <col min="8450" max="8455" width="20" customWidth="1"/>
    <col min="8705" max="8705" width="30" customWidth="1"/>
    <col min="8706" max="8711" width="20" customWidth="1"/>
    <col min="8961" max="8961" width="30" customWidth="1"/>
    <col min="8962" max="8967" width="20" customWidth="1"/>
    <col min="9217" max="9217" width="30" customWidth="1"/>
    <col min="9218" max="9223" width="20" customWidth="1"/>
    <col min="9473" max="9473" width="30" customWidth="1"/>
    <col min="9474" max="9479" width="20" customWidth="1"/>
    <col min="9729" max="9729" width="30" customWidth="1"/>
    <col min="9730" max="9735" width="20" customWidth="1"/>
    <col min="9985" max="9985" width="30" customWidth="1"/>
    <col min="9986" max="9991" width="20" customWidth="1"/>
    <col min="10241" max="10241" width="30" customWidth="1"/>
    <col min="10242" max="10247" width="20" customWidth="1"/>
    <col min="10497" max="10497" width="30" customWidth="1"/>
    <col min="10498" max="10503" width="20" customWidth="1"/>
    <col min="10753" max="10753" width="30" customWidth="1"/>
    <col min="10754" max="10759" width="20" customWidth="1"/>
    <col min="11009" max="11009" width="30" customWidth="1"/>
    <col min="11010" max="11015" width="20" customWidth="1"/>
    <col min="11265" max="11265" width="30" customWidth="1"/>
    <col min="11266" max="11271" width="20" customWidth="1"/>
    <col min="11521" max="11521" width="30" customWidth="1"/>
    <col min="11522" max="11527" width="20" customWidth="1"/>
    <col min="11777" max="11777" width="30" customWidth="1"/>
    <col min="11778" max="11783" width="20" customWidth="1"/>
    <col min="12033" max="12033" width="30" customWidth="1"/>
    <col min="12034" max="12039" width="20" customWidth="1"/>
    <col min="12289" max="12289" width="30" customWidth="1"/>
    <col min="12290" max="12295" width="20" customWidth="1"/>
    <col min="12545" max="12545" width="30" customWidth="1"/>
    <col min="12546" max="12551" width="20" customWidth="1"/>
    <col min="12801" max="12801" width="30" customWidth="1"/>
    <col min="12802" max="12807" width="20" customWidth="1"/>
    <col min="13057" max="13057" width="30" customWidth="1"/>
    <col min="13058" max="13063" width="20" customWidth="1"/>
    <col min="13313" max="13313" width="30" customWidth="1"/>
    <col min="13314" max="13319" width="20" customWidth="1"/>
    <col min="13569" max="13569" width="30" customWidth="1"/>
    <col min="13570" max="13575" width="20" customWidth="1"/>
    <col min="13825" max="13825" width="30" customWidth="1"/>
    <col min="13826" max="13831" width="20" customWidth="1"/>
    <col min="14081" max="14081" width="30" customWidth="1"/>
    <col min="14082" max="14087" width="20" customWidth="1"/>
    <col min="14337" max="14337" width="30" customWidth="1"/>
    <col min="14338" max="14343" width="20" customWidth="1"/>
    <col min="14593" max="14593" width="30" customWidth="1"/>
    <col min="14594" max="14599" width="20" customWidth="1"/>
    <col min="14849" max="14849" width="30" customWidth="1"/>
    <col min="14850" max="14855" width="20" customWidth="1"/>
    <col min="15105" max="15105" width="30" customWidth="1"/>
    <col min="15106" max="15111" width="20" customWidth="1"/>
    <col min="15361" max="15361" width="30" customWidth="1"/>
    <col min="15362" max="15367" width="20" customWidth="1"/>
    <col min="15617" max="15617" width="30" customWidth="1"/>
    <col min="15618" max="15623" width="20" customWidth="1"/>
    <col min="15873" max="15873" width="30" customWidth="1"/>
    <col min="15874" max="15879" width="20" customWidth="1"/>
    <col min="16129" max="16129" width="30" customWidth="1"/>
    <col min="16130" max="16135" width="20" customWidth="1"/>
  </cols>
  <sheetData>
    <row r="1" spans="1:17" ht="18.75" customHeight="1">
      <c r="A1" s="118" t="s">
        <v>43</v>
      </c>
      <c r="B1" s="118" t="s">
        <v>184</v>
      </c>
      <c r="C1" s="123" t="s">
        <v>185</v>
      </c>
      <c r="D1" s="123" t="s">
        <v>186</v>
      </c>
      <c r="E1" s="123" t="s">
        <v>187</v>
      </c>
      <c r="F1" s="123" t="s">
        <v>188</v>
      </c>
      <c r="G1" s="123" t="s">
        <v>189</v>
      </c>
      <c r="H1" s="123" t="s">
        <v>190</v>
      </c>
      <c r="I1" s="123" t="s">
        <v>310</v>
      </c>
      <c r="J1" s="123" t="s">
        <v>311</v>
      </c>
      <c r="K1" s="123" t="s">
        <v>312</v>
      </c>
      <c r="L1" s="123" t="s">
        <v>313</v>
      </c>
      <c r="M1" s="123" t="s">
        <v>314</v>
      </c>
      <c r="N1" s="123" t="s">
        <v>315</v>
      </c>
    </row>
    <row r="2" spans="1:17" ht="13.5" customHeight="1">
      <c r="A2" s="121" t="s">
        <v>130</v>
      </c>
      <c r="B2" s="124">
        <v>21519965336</v>
      </c>
      <c r="C2" s="124">
        <v>2735381647</v>
      </c>
      <c r="D2" s="124">
        <v>2447781972</v>
      </c>
      <c r="E2" s="124">
        <v>4328182055</v>
      </c>
      <c r="F2" s="124">
        <v>4152427518</v>
      </c>
      <c r="G2" s="124">
        <v>2755697515</v>
      </c>
      <c r="H2" s="124">
        <v>2793851873</v>
      </c>
      <c r="I2" s="125">
        <v>2306642756</v>
      </c>
      <c r="J2" s="125"/>
      <c r="K2" s="125"/>
      <c r="L2" s="125"/>
      <c r="M2" s="125"/>
      <c r="N2" s="125"/>
      <c r="P2" t="str">
        <f t="shared" ref="P2:P42" si="0">IF(A2="","",SUBSTITUTE(A2," ",""))</f>
        <v>Ⅰ.매출액</v>
      </c>
      <c r="Q2" t="str">
        <f>IF(A2="","",P2&amp;"|"&amp;COUNTIF($P$2:P2,P2))</f>
        <v>Ⅰ.매출액|1</v>
      </c>
    </row>
    <row r="3" spans="1:17" ht="13.5" customHeight="1">
      <c r="A3" s="119" t="s">
        <v>131</v>
      </c>
      <c r="B3" s="124">
        <v>21466362478</v>
      </c>
      <c r="C3" s="124">
        <v>2685863045</v>
      </c>
      <c r="D3" s="124">
        <v>2447781972</v>
      </c>
      <c r="E3" s="124">
        <v>4324942055</v>
      </c>
      <c r="F3" s="124">
        <v>4151583262</v>
      </c>
      <c r="G3" s="124">
        <v>2755697515</v>
      </c>
      <c r="H3" s="124">
        <v>2793851873</v>
      </c>
      <c r="I3" s="125">
        <v>2306642756</v>
      </c>
      <c r="J3" s="125"/>
      <c r="K3" s="125"/>
      <c r="L3" s="125"/>
      <c r="M3" s="125"/>
      <c r="N3" s="125"/>
      <c r="P3" t="str">
        <f t="shared" si="0"/>
        <v>상품매출</v>
      </c>
      <c r="Q3" t="str">
        <f>IF(A3="","",P3&amp;"|"&amp;COUNTIF($P$2:P3,P3))</f>
        <v>상품매출|1</v>
      </c>
    </row>
    <row r="4" spans="1:17" ht="13.5" customHeight="1">
      <c r="A4" s="119" t="s">
        <v>132</v>
      </c>
      <c r="B4" s="124">
        <v>53602858</v>
      </c>
      <c r="C4" s="124">
        <v>49518602</v>
      </c>
      <c r="D4" s="124">
        <v>0</v>
      </c>
      <c r="E4" s="124">
        <v>3240000</v>
      </c>
      <c r="F4" s="124">
        <v>844256</v>
      </c>
      <c r="G4" s="124">
        <v>0</v>
      </c>
      <c r="H4" s="124">
        <v>0</v>
      </c>
      <c r="I4" s="125">
        <v>0</v>
      </c>
      <c r="J4" s="125"/>
      <c r="K4" s="125"/>
      <c r="L4" s="125"/>
      <c r="M4" s="125"/>
      <c r="N4" s="125"/>
      <c r="P4" t="str">
        <f t="shared" si="0"/>
        <v>상품수출매출</v>
      </c>
      <c r="Q4" t="str">
        <f>IF(A4="","",P4&amp;"|"&amp;COUNTIF($P$2:P4,P4))</f>
        <v>상품수출매출|1</v>
      </c>
    </row>
    <row r="5" spans="1:17" ht="13.5" customHeight="1">
      <c r="A5" s="121" t="s">
        <v>133</v>
      </c>
      <c r="B5" s="124">
        <v>17650813148</v>
      </c>
      <c r="C5" s="124">
        <v>2239786263</v>
      </c>
      <c r="D5" s="124">
        <v>1986355221</v>
      </c>
      <c r="E5" s="124">
        <v>3593571301</v>
      </c>
      <c r="F5" s="124">
        <v>3504736843</v>
      </c>
      <c r="G5" s="124">
        <v>2214895735</v>
      </c>
      <c r="H5" s="124">
        <v>2262213603</v>
      </c>
      <c r="I5" s="125">
        <v>1849254182</v>
      </c>
      <c r="J5" s="125"/>
      <c r="K5" s="125"/>
      <c r="L5" s="125"/>
      <c r="M5" s="125"/>
      <c r="N5" s="125"/>
      <c r="P5" t="str">
        <f t="shared" si="0"/>
        <v>Ⅱ.매출원가</v>
      </c>
      <c r="Q5" t="str">
        <f>IF(A5="","",P5&amp;"|"&amp;COUNTIF($P$2:P5,P5))</f>
        <v>Ⅱ.매출원가|1</v>
      </c>
    </row>
    <row r="6" spans="1:17" ht="13.5" customHeight="1">
      <c r="A6" s="119" t="s">
        <v>134</v>
      </c>
      <c r="B6" s="124">
        <v>17650813148</v>
      </c>
      <c r="C6" s="124">
        <v>2239786263</v>
      </c>
      <c r="D6" s="124">
        <v>1986355221</v>
      </c>
      <c r="E6" s="124">
        <v>3593571301</v>
      </c>
      <c r="F6" s="124">
        <v>3504736843</v>
      </c>
      <c r="G6" s="124">
        <v>2214895735</v>
      </c>
      <c r="H6" s="124">
        <v>2262213603</v>
      </c>
      <c r="I6" s="125">
        <v>1849254182</v>
      </c>
      <c r="J6" s="125"/>
      <c r="K6" s="125"/>
      <c r="L6" s="125"/>
      <c r="M6" s="125"/>
      <c r="N6" s="125"/>
      <c r="P6" t="str">
        <f t="shared" si="0"/>
        <v>상품매출원가</v>
      </c>
      <c r="Q6" t="str">
        <f>IF(A6="","",P6&amp;"|"&amp;COUNTIF($P$2:P6,P6))</f>
        <v>상품매출원가|1</v>
      </c>
    </row>
    <row r="7" spans="1:17" ht="13.5" customHeight="1">
      <c r="A7" s="119" t="s">
        <v>135</v>
      </c>
      <c r="B7" s="124">
        <v>2126111102</v>
      </c>
      <c r="C7" s="124">
        <v>2126111102</v>
      </c>
      <c r="D7" s="124">
        <v>2138504857</v>
      </c>
      <c r="E7" s="124">
        <v>2234084333</v>
      </c>
      <c r="F7" s="124">
        <v>2477723821</v>
      </c>
      <c r="G7" s="124">
        <v>2748658932</v>
      </c>
      <c r="H7" s="124">
        <v>2688555911</v>
      </c>
      <c r="I7" s="125">
        <v>2999324483</v>
      </c>
      <c r="J7" s="125"/>
      <c r="K7" s="125"/>
      <c r="L7" s="125"/>
      <c r="M7" s="125"/>
      <c r="N7" s="125"/>
      <c r="P7" t="str">
        <f t="shared" si="0"/>
        <v>기초상품재고액</v>
      </c>
      <c r="Q7" t="str">
        <f>IF(A7="","",P7&amp;"|"&amp;COUNTIF($P$2:P7,P7))</f>
        <v>기초상품재고액|1</v>
      </c>
    </row>
    <row r="8" spans="1:17" ht="13.5" customHeight="1">
      <c r="A8" s="119" t="s">
        <v>136</v>
      </c>
      <c r="B8" s="124">
        <v>18479894308</v>
      </c>
      <c r="C8" s="124">
        <v>2262611475</v>
      </c>
      <c r="D8" s="124">
        <v>2098036708</v>
      </c>
      <c r="E8" s="124">
        <v>3842122282</v>
      </c>
      <c r="F8" s="124">
        <v>3789768692</v>
      </c>
      <c r="G8" s="124">
        <v>2174085277</v>
      </c>
      <c r="H8" s="124">
        <v>2581553781</v>
      </c>
      <c r="I8" s="125">
        <v>1731716093</v>
      </c>
      <c r="J8" s="125"/>
      <c r="K8" s="125"/>
      <c r="L8" s="125"/>
      <c r="M8" s="125"/>
      <c r="N8" s="125"/>
      <c r="P8" t="str">
        <f t="shared" si="0"/>
        <v>당기상품매입액</v>
      </c>
      <c r="Q8" t="str">
        <f>IF(A8="","",P8&amp;"|"&amp;COUNTIF($P$2:P8,P8))</f>
        <v>당기상품매입액|1</v>
      </c>
    </row>
    <row r="9" spans="1:17" ht="13.5" customHeight="1">
      <c r="A9" s="119" t="s">
        <v>137</v>
      </c>
      <c r="B9" s="124">
        <v>91576826</v>
      </c>
      <c r="C9" s="124">
        <v>10431457</v>
      </c>
      <c r="D9" s="124">
        <v>16102011</v>
      </c>
      <c r="E9" s="124">
        <v>4911493</v>
      </c>
      <c r="F9" s="124">
        <v>14096738</v>
      </c>
      <c r="G9" s="124">
        <v>19292563</v>
      </c>
      <c r="H9" s="124">
        <v>8571606</v>
      </c>
      <c r="I9" s="125">
        <v>18170958</v>
      </c>
      <c r="J9" s="125"/>
      <c r="K9" s="125"/>
      <c r="L9" s="125"/>
      <c r="M9" s="125"/>
      <c r="N9" s="125"/>
      <c r="P9" t="str">
        <f t="shared" si="0"/>
        <v>매입할인</v>
      </c>
      <c r="Q9" t="str">
        <f>IF(A9="","",P9&amp;"|"&amp;COUNTIF($P$2:P9,P9))</f>
        <v>매입할인|1</v>
      </c>
    </row>
    <row r="10" spans="1:17" ht="13.5" customHeight="1">
      <c r="A10" s="119" t="s">
        <v>138</v>
      </c>
      <c r="B10" s="124">
        <v>2863615436</v>
      </c>
      <c r="C10" s="124">
        <v>2138504857</v>
      </c>
      <c r="D10" s="124">
        <v>2234084333</v>
      </c>
      <c r="E10" s="124">
        <v>2477723821</v>
      </c>
      <c r="F10" s="124">
        <v>2748658932</v>
      </c>
      <c r="G10" s="124">
        <v>2688555911</v>
      </c>
      <c r="H10" s="124">
        <v>2999324483</v>
      </c>
      <c r="I10" s="125">
        <v>2863615436</v>
      </c>
      <c r="J10" s="125"/>
      <c r="K10" s="125"/>
      <c r="L10" s="125"/>
      <c r="M10" s="125"/>
      <c r="N10" s="125"/>
      <c r="P10" t="str">
        <f t="shared" si="0"/>
        <v>기말상품재고액</v>
      </c>
      <c r="Q10" t="str">
        <f>IF(A10="","",P10&amp;"|"&amp;COUNTIF($P$2:P10,P10))</f>
        <v>기말상품재고액|1</v>
      </c>
    </row>
    <row r="11" spans="1:17" ht="13.5" customHeight="1">
      <c r="A11" s="121" t="s">
        <v>139</v>
      </c>
      <c r="B11" s="124">
        <v>3869152188</v>
      </c>
      <c r="C11" s="124">
        <v>495595384</v>
      </c>
      <c r="D11" s="124">
        <v>461426751</v>
      </c>
      <c r="E11" s="124">
        <v>734610754</v>
      </c>
      <c r="F11" s="124">
        <v>647690675</v>
      </c>
      <c r="G11" s="124">
        <v>540801780</v>
      </c>
      <c r="H11" s="124">
        <v>531638270</v>
      </c>
      <c r="I11" s="125">
        <v>457388574</v>
      </c>
      <c r="J11" s="125"/>
      <c r="K11" s="125"/>
      <c r="L11" s="125"/>
      <c r="M11" s="125"/>
      <c r="N11" s="125"/>
      <c r="P11" t="str">
        <f t="shared" si="0"/>
        <v>Ⅲ.매출총이익</v>
      </c>
      <c r="Q11" t="str">
        <f>IF(A11="","",P11&amp;"|"&amp;COUNTIF($P$2:P11,P11))</f>
        <v>Ⅲ.매출총이익|1</v>
      </c>
    </row>
    <row r="12" spans="1:17" ht="13.5" customHeight="1">
      <c r="A12" s="121" t="s">
        <v>140</v>
      </c>
      <c r="B12" s="124">
        <v>2161095954</v>
      </c>
      <c r="C12" s="124">
        <v>293673138</v>
      </c>
      <c r="D12" s="124">
        <v>283436039</v>
      </c>
      <c r="E12" s="124">
        <v>285953340</v>
      </c>
      <c r="F12" s="124">
        <v>330827620</v>
      </c>
      <c r="G12" s="124">
        <v>296592907</v>
      </c>
      <c r="H12" s="124">
        <v>380134204</v>
      </c>
      <c r="I12" s="125">
        <v>290478706</v>
      </c>
      <c r="J12" s="125"/>
      <c r="K12" s="125"/>
      <c r="L12" s="125"/>
      <c r="M12" s="125"/>
      <c r="N12" s="125"/>
      <c r="P12" t="str">
        <f t="shared" si="0"/>
        <v>Ⅳ.판매관리비</v>
      </c>
      <c r="Q12" t="str">
        <f>IF(A12="","",P12&amp;"|"&amp;COUNTIF($P$2:P12,P12))</f>
        <v>Ⅳ.판매관리비|1</v>
      </c>
    </row>
    <row r="13" spans="1:17" ht="13.5" customHeight="1">
      <c r="A13" s="119" t="s">
        <v>142</v>
      </c>
      <c r="B13" s="124">
        <v>1229848831</v>
      </c>
      <c r="C13" s="124">
        <v>165116668</v>
      </c>
      <c r="D13" s="124">
        <v>165116668</v>
      </c>
      <c r="E13" s="124">
        <v>164298981</v>
      </c>
      <c r="F13" s="124">
        <v>211035001</v>
      </c>
      <c r="G13" s="124">
        <v>178361269</v>
      </c>
      <c r="H13" s="124">
        <v>177293452</v>
      </c>
      <c r="I13" s="125">
        <v>168626792</v>
      </c>
      <c r="J13" s="125"/>
      <c r="K13" s="125"/>
      <c r="L13" s="125"/>
      <c r="M13" s="125"/>
      <c r="N13" s="125"/>
      <c r="P13" t="str">
        <f t="shared" si="0"/>
        <v>직원급여</v>
      </c>
      <c r="Q13" t="str">
        <f>IF(A13="","",P13&amp;"|"&amp;COUNTIF($P$2:P13,P13))</f>
        <v>직원급여|1</v>
      </c>
    </row>
    <row r="14" spans="1:17" ht="11.25" customHeight="1">
      <c r="A14" s="122" t="s">
        <v>145</v>
      </c>
      <c r="B14" s="124">
        <v>88091340</v>
      </c>
      <c r="C14" s="124">
        <v>0</v>
      </c>
      <c r="D14" s="124">
        <v>0</v>
      </c>
      <c r="E14" s="124">
        <v>2417000</v>
      </c>
      <c r="F14" s="124">
        <v>606500</v>
      </c>
      <c r="G14" s="124">
        <v>0</v>
      </c>
      <c r="H14" s="124">
        <v>85067840</v>
      </c>
      <c r="I14" s="125">
        <v>0</v>
      </c>
      <c r="J14" s="125"/>
      <c r="K14" s="125"/>
      <c r="L14" s="125"/>
      <c r="M14" s="125"/>
      <c r="N14" s="125"/>
      <c r="P14" t="str">
        <f t="shared" si="0"/>
        <v>퇴직급여</v>
      </c>
      <c r="Q14" t="str">
        <f>IF(A14="","",P14&amp;"|"&amp;COUNTIF($P$2:P14,P14))</f>
        <v>퇴직급여|1</v>
      </c>
    </row>
    <row r="15" spans="1:17" ht="13.5" customHeight="1">
      <c r="A15" s="119" t="s">
        <v>146</v>
      </c>
      <c r="B15" s="124">
        <v>110546776</v>
      </c>
      <c r="C15" s="124">
        <v>13491727</v>
      </c>
      <c r="D15" s="124">
        <v>15577491</v>
      </c>
      <c r="E15" s="124">
        <v>13132809</v>
      </c>
      <c r="F15" s="124">
        <v>14320940</v>
      </c>
      <c r="G15" s="124">
        <v>20159822</v>
      </c>
      <c r="H15" s="124">
        <v>15736532</v>
      </c>
      <c r="I15" s="125">
        <v>18127455</v>
      </c>
      <c r="J15" s="125"/>
      <c r="K15" s="125"/>
      <c r="L15" s="125"/>
      <c r="M15" s="125"/>
      <c r="N15" s="125"/>
      <c r="P15" t="str">
        <f t="shared" si="0"/>
        <v>복리후생비</v>
      </c>
      <c r="Q15" t="str">
        <f>IF(A15="","",P15&amp;"|"&amp;COUNTIF($P$2:P15,P15))</f>
        <v>복리후생비|1</v>
      </c>
    </row>
    <row r="16" spans="1:17" ht="13.5" customHeight="1">
      <c r="A16" s="119" t="s">
        <v>147</v>
      </c>
      <c r="B16" s="124">
        <v>7859988</v>
      </c>
      <c r="C16" s="124">
        <v>1448900</v>
      </c>
      <c r="D16" s="124">
        <v>380591</v>
      </c>
      <c r="E16" s="124">
        <v>910000</v>
      </c>
      <c r="F16" s="124">
        <v>2808322</v>
      </c>
      <c r="G16" s="124">
        <v>925289</v>
      </c>
      <c r="H16" s="124">
        <v>750486</v>
      </c>
      <c r="I16" s="125">
        <v>636400</v>
      </c>
      <c r="J16" s="125"/>
      <c r="K16" s="125"/>
      <c r="L16" s="125"/>
      <c r="M16" s="125"/>
      <c r="N16" s="125"/>
      <c r="P16" t="str">
        <f t="shared" si="0"/>
        <v>여비교통비</v>
      </c>
      <c r="Q16" t="str">
        <f>IF(A16="","",P16&amp;"|"&amp;COUNTIF($P$2:P16,P16))</f>
        <v>여비교통비|1</v>
      </c>
    </row>
    <row r="17" spans="1:17" ht="13.5" customHeight="1">
      <c r="A17" s="119" t="s">
        <v>148</v>
      </c>
      <c r="B17" s="124">
        <v>43323349</v>
      </c>
      <c r="C17" s="124">
        <v>2851000</v>
      </c>
      <c r="D17" s="124">
        <v>18464450</v>
      </c>
      <c r="E17" s="124">
        <v>3232900</v>
      </c>
      <c r="F17" s="124">
        <v>5015657</v>
      </c>
      <c r="G17" s="124">
        <v>3412700</v>
      </c>
      <c r="H17" s="124">
        <v>5154220</v>
      </c>
      <c r="I17" s="125">
        <v>5192422</v>
      </c>
      <c r="J17" s="125"/>
      <c r="K17" s="125"/>
      <c r="L17" s="125"/>
      <c r="M17" s="125"/>
      <c r="N17" s="125"/>
      <c r="P17" t="str">
        <f t="shared" si="0"/>
        <v>접대비</v>
      </c>
      <c r="Q17" t="str">
        <f>IF(A17="","",P17&amp;"|"&amp;COUNTIF($P$2:P17,P17))</f>
        <v>접대비|1</v>
      </c>
    </row>
    <row r="18" spans="1:17" ht="13.5" customHeight="1">
      <c r="A18" s="119" t="s">
        <v>149</v>
      </c>
      <c r="B18" s="124">
        <v>10884279</v>
      </c>
      <c r="C18" s="124">
        <v>1553614</v>
      </c>
      <c r="D18" s="124">
        <v>1548550</v>
      </c>
      <c r="E18" s="124">
        <v>1543792</v>
      </c>
      <c r="F18" s="124">
        <v>1551170</v>
      </c>
      <c r="G18" s="124">
        <v>1610738</v>
      </c>
      <c r="H18" s="124">
        <v>1566533</v>
      </c>
      <c r="I18" s="125">
        <v>1509882</v>
      </c>
      <c r="J18" s="125"/>
      <c r="K18" s="125"/>
      <c r="L18" s="125"/>
      <c r="M18" s="125"/>
      <c r="N18" s="125"/>
      <c r="P18" t="str">
        <f t="shared" si="0"/>
        <v>통신비</v>
      </c>
      <c r="Q18" t="str">
        <f>IF(A18="","",P18&amp;"|"&amp;COUNTIF($P$2:P18,P18))</f>
        <v>통신비|1</v>
      </c>
    </row>
    <row r="19" spans="1:17" ht="13.5" customHeight="1">
      <c r="A19" s="119" t="s">
        <v>150</v>
      </c>
      <c r="B19" s="124">
        <v>658900</v>
      </c>
      <c r="C19" s="124">
        <v>416690</v>
      </c>
      <c r="D19" s="124">
        <v>36590</v>
      </c>
      <c r="E19" s="124">
        <v>55710</v>
      </c>
      <c r="F19" s="124">
        <v>31410</v>
      </c>
      <c r="G19" s="124">
        <v>41020</v>
      </c>
      <c r="H19" s="124">
        <v>30840</v>
      </c>
      <c r="I19" s="125">
        <v>46640</v>
      </c>
      <c r="J19" s="125"/>
      <c r="K19" s="125"/>
      <c r="L19" s="125"/>
      <c r="M19" s="125"/>
      <c r="N19" s="125"/>
      <c r="P19" t="str">
        <f t="shared" si="0"/>
        <v>수도광열비</v>
      </c>
      <c r="Q19" t="str">
        <f>IF(A19="","",P19&amp;"|"&amp;COUNTIF($P$2:P19,P19))</f>
        <v>수도광열비|1</v>
      </c>
    </row>
    <row r="20" spans="1:17" ht="13.5" customHeight="1">
      <c r="A20" s="119" t="s">
        <v>151</v>
      </c>
      <c r="B20" s="124">
        <v>9937528</v>
      </c>
      <c r="C20" s="124">
        <v>1750221</v>
      </c>
      <c r="D20" s="124">
        <v>2188166</v>
      </c>
      <c r="E20" s="124">
        <v>1608472</v>
      </c>
      <c r="F20" s="124">
        <v>1205192</v>
      </c>
      <c r="G20" s="124">
        <v>974835</v>
      </c>
      <c r="H20" s="124">
        <v>958881</v>
      </c>
      <c r="I20" s="125">
        <v>1251761</v>
      </c>
      <c r="J20" s="125"/>
      <c r="K20" s="125"/>
      <c r="L20" s="125"/>
      <c r="M20" s="125"/>
      <c r="N20" s="125"/>
      <c r="P20" t="str">
        <f t="shared" si="0"/>
        <v>전력비</v>
      </c>
      <c r="Q20" t="str">
        <f>IF(A20="","",P20&amp;"|"&amp;COUNTIF($P$2:P20,P20))</f>
        <v>전력비|1</v>
      </c>
    </row>
    <row r="21" spans="1:17" ht="13.5" customHeight="1">
      <c r="A21" s="119" t="s">
        <v>152</v>
      </c>
      <c r="B21" s="124">
        <v>61818760</v>
      </c>
      <c r="C21" s="124">
        <v>13653600</v>
      </c>
      <c r="D21" s="124">
        <v>6982700</v>
      </c>
      <c r="E21" s="124">
        <v>7010270</v>
      </c>
      <c r="F21" s="124">
        <v>7048100</v>
      </c>
      <c r="G21" s="124">
        <v>7143360</v>
      </c>
      <c r="H21" s="124">
        <v>10475430</v>
      </c>
      <c r="I21" s="125">
        <v>9505300</v>
      </c>
      <c r="J21" s="125"/>
      <c r="K21" s="125"/>
      <c r="L21" s="125"/>
      <c r="M21" s="125"/>
      <c r="N21" s="125"/>
      <c r="P21" t="str">
        <f t="shared" si="0"/>
        <v>세금과공과금</v>
      </c>
      <c r="Q21" t="str">
        <f>IF(A21="","",P21&amp;"|"&amp;COUNTIF($P$2:P21,P21))</f>
        <v>세금과공과금|1</v>
      </c>
    </row>
    <row r="22" spans="1:17" ht="13.5" customHeight="1">
      <c r="A22" s="119" t="s">
        <v>153</v>
      </c>
      <c r="B22" s="124">
        <v>71625807</v>
      </c>
      <c r="C22" s="124">
        <v>8823402</v>
      </c>
      <c r="D22" s="124">
        <v>8823244</v>
      </c>
      <c r="E22" s="124">
        <v>8823244</v>
      </c>
      <c r="F22" s="124">
        <v>10167968</v>
      </c>
      <c r="G22" s="124">
        <v>11662651</v>
      </c>
      <c r="H22" s="124">
        <v>11662649</v>
      </c>
      <c r="I22" s="125">
        <v>11662649</v>
      </c>
      <c r="J22" s="125"/>
      <c r="K22" s="125"/>
      <c r="L22" s="125"/>
      <c r="M22" s="125"/>
      <c r="N22" s="125"/>
      <c r="P22" t="str">
        <f t="shared" si="0"/>
        <v>감가상각비</v>
      </c>
      <c r="Q22" t="str">
        <f>IF(A22="","",P22&amp;"|"&amp;COUNTIF($P$2:P22,P22))</f>
        <v>감가상각비|1</v>
      </c>
    </row>
    <row r="23" spans="1:17" ht="13.5" customHeight="1">
      <c r="A23" s="119" t="s">
        <v>154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P23" t="str">
        <f t="shared" si="0"/>
        <v>지급임차료</v>
      </c>
      <c r="Q23" t="str">
        <f>IF(A23="","",P23&amp;"|"&amp;COUNTIF($P$2:P23,P23))</f>
        <v>지급임차료|1</v>
      </c>
    </row>
    <row r="24" spans="1:17" ht="13.5" customHeight="1">
      <c r="A24" s="119" t="s">
        <v>155</v>
      </c>
      <c r="B24" s="124">
        <v>48751589</v>
      </c>
      <c r="C24" s="124">
        <v>15663708</v>
      </c>
      <c r="D24" s="124">
        <v>5397377</v>
      </c>
      <c r="E24" s="124">
        <v>10141505</v>
      </c>
      <c r="F24" s="124">
        <v>4254552</v>
      </c>
      <c r="G24" s="124">
        <v>5965087</v>
      </c>
      <c r="H24" s="124">
        <v>4097930</v>
      </c>
      <c r="I24" s="125">
        <v>3231430</v>
      </c>
      <c r="J24" s="125"/>
      <c r="K24" s="125"/>
      <c r="L24" s="125"/>
      <c r="M24" s="125"/>
      <c r="N24" s="125"/>
      <c r="P24" t="str">
        <f t="shared" si="0"/>
        <v>보험료</v>
      </c>
      <c r="Q24" t="str">
        <f>IF(A24="","",P24&amp;"|"&amp;COUNTIF($P$2:P24,P24))</f>
        <v>보험료|1</v>
      </c>
    </row>
    <row r="25" spans="1:17" ht="13.5" customHeight="1">
      <c r="A25" s="119" t="s">
        <v>156</v>
      </c>
      <c r="B25" s="124">
        <v>155024259</v>
      </c>
      <c r="C25" s="124">
        <v>19333975</v>
      </c>
      <c r="D25" s="124">
        <v>17873186</v>
      </c>
      <c r="E25" s="124">
        <v>20774039</v>
      </c>
      <c r="F25" s="124">
        <v>28171664</v>
      </c>
      <c r="G25" s="124">
        <v>19541338</v>
      </c>
      <c r="H25" s="124">
        <v>23455020</v>
      </c>
      <c r="I25" s="125">
        <v>25875037</v>
      </c>
      <c r="J25" s="125"/>
      <c r="K25" s="125"/>
      <c r="L25" s="125"/>
      <c r="M25" s="125"/>
      <c r="N25" s="125"/>
      <c r="P25" t="str">
        <f t="shared" si="0"/>
        <v>차량유지비</v>
      </c>
      <c r="Q25" t="str">
        <f>IF(A25="","",P25&amp;"|"&amp;COUNTIF($P$2:P25,P25))</f>
        <v>차량유지비|1</v>
      </c>
    </row>
    <row r="26" spans="1:17" ht="13.5" customHeight="1">
      <c r="A26" s="119" t="s">
        <v>157</v>
      </c>
      <c r="B26" s="124">
        <v>11781419</v>
      </c>
      <c r="C26" s="124">
        <v>1774119</v>
      </c>
      <c r="D26" s="124">
        <v>1290155</v>
      </c>
      <c r="E26" s="124">
        <v>1536718</v>
      </c>
      <c r="F26" s="124">
        <v>2736936</v>
      </c>
      <c r="G26" s="124">
        <v>1154891</v>
      </c>
      <c r="H26" s="124">
        <v>2250264</v>
      </c>
      <c r="I26" s="125">
        <v>1038336</v>
      </c>
      <c r="J26" s="125"/>
      <c r="K26" s="125"/>
      <c r="L26" s="125"/>
      <c r="M26" s="125"/>
      <c r="N26" s="125"/>
      <c r="P26" t="str">
        <f t="shared" si="0"/>
        <v>운반비</v>
      </c>
      <c r="Q26" t="str">
        <f>IF(A26="","",P26&amp;"|"&amp;COUNTIF($P$2:P26,P26))</f>
        <v>운반비|1</v>
      </c>
    </row>
    <row r="27" spans="1:17" ht="13.5" customHeight="1">
      <c r="A27" s="119" t="s">
        <v>159</v>
      </c>
      <c r="B27" s="124">
        <v>18876205</v>
      </c>
      <c r="C27" s="124">
        <v>2445379</v>
      </c>
      <c r="D27" s="124">
        <v>683732</v>
      </c>
      <c r="E27" s="124">
        <v>3596924</v>
      </c>
      <c r="F27" s="124">
        <v>1948321</v>
      </c>
      <c r="G27" s="124">
        <v>3037487</v>
      </c>
      <c r="H27" s="124">
        <v>1602097</v>
      </c>
      <c r="I27" s="125">
        <v>5562265</v>
      </c>
      <c r="J27" s="125"/>
      <c r="K27" s="125"/>
      <c r="L27" s="125"/>
      <c r="M27" s="125"/>
      <c r="N27" s="125"/>
      <c r="P27" t="str">
        <f t="shared" si="0"/>
        <v>소모품비</v>
      </c>
      <c r="Q27" t="str">
        <f>IF(A27="","",P27&amp;"|"&amp;COUNTIF($P$2:P27,P27))</f>
        <v>소모품비|1</v>
      </c>
    </row>
    <row r="28" spans="1:17" ht="11.25" customHeight="1">
      <c r="A28" s="122" t="s">
        <v>160</v>
      </c>
      <c r="B28" s="124">
        <v>196598820</v>
      </c>
      <c r="C28" s="124">
        <v>31388944</v>
      </c>
      <c r="D28" s="124">
        <v>25573139</v>
      </c>
      <c r="E28" s="124">
        <v>33370976</v>
      </c>
      <c r="F28" s="124">
        <v>26110603</v>
      </c>
      <c r="G28" s="124">
        <v>28910791</v>
      </c>
      <c r="H28" s="124">
        <v>26532030</v>
      </c>
      <c r="I28" s="125">
        <v>24712337</v>
      </c>
      <c r="J28" s="125"/>
      <c r="K28" s="125"/>
      <c r="L28" s="125"/>
      <c r="M28" s="125"/>
      <c r="N28" s="125"/>
      <c r="P28" t="str">
        <f t="shared" si="0"/>
        <v>지급수수료</v>
      </c>
      <c r="Q28" t="str">
        <f>IF(A28="","",P28&amp;"|"&amp;COUNTIF($P$2:P28,P28))</f>
        <v>지급수수료|1</v>
      </c>
    </row>
    <row r="29" spans="1:17" ht="13.5" customHeight="1">
      <c r="A29" s="119" t="s">
        <v>162</v>
      </c>
      <c r="B29" s="124">
        <v>968104</v>
      </c>
      <c r="C29" s="124">
        <v>461191</v>
      </c>
      <c r="D29" s="124">
        <v>0</v>
      </c>
      <c r="E29" s="124">
        <v>0</v>
      </c>
      <c r="F29" s="124">
        <v>315284</v>
      </c>
      <c r="G29" s="124">
        <v>191629</v>
      </c>
      <c r="H29" s="124">
        <v>0</v>
      </c>
      <c r="I29" s="125">
        <v>0</v>
      </c>
      <c r="J29" s="125"/>
      <c r="K29" s="125"/>
      <c r="L29" s="125"/>
      <c r="M29" s="125"/>
      <c r="N29" s="125"/>
      <c r="P29" t="str">
        <f t="shared" si="0"/>
        <v>수출제비용</v>
      </c>
      <c r="Q29" t="str">
        <f>IF(A29="","",P29&amp;"|"&amp;COUNTIF($P$2:P29,P29))</f>
        <v>수출제비용|1</v>
      </c>
    </row>
    <row r="30" spans="1:17" ht="13.5" customHeight="1">
      <c r="A30" s="119" t="s">
        <v>163</v>
      </c>
      <c r="B30" s="124">
        <v>1708056234</v>
      </c>
      <c r="C30" s="124">
        <v>201922246</v>
      </c>
      <c r="D30" s="124">
        <v>177990712</v>
      </c>
      <c r="E30" s="124">
        <v>448657414</v>
      </c>
      <c r="F30" s="124">
        <v>316863055</v>
      </c>
      <c r="G30" s="124">
        <v>244208873</v>
      </c>
      <c r="H30" s="124">
        <v>151504066</v>
      </c>
      <c r="I30" s="125">
        <v>166909868</v>
      </c>
      <c r="J30" s="125"/>
      <c r="K30" s="125"/>
      <c r="L30" s="125"/>
      <c r="M30" s="125"/>
      <c r="N30" s="125"/>
      <c r="P30" t="str">
        <f t="shared" si="0"/>
        <v>Ⅴ.영업이익</v>
      </c>
      <c r="Q30" t="str">
        <f>IF(A30="","",P30&amp;"|"&amp;COUNTIF($P$2:P30,P30))</f>
        <v>Ⅴ.영업이익|1</v>
      </c>
    </row>
    <row r="31" spans="1:17" ht="11.25" customHeight="1">
      <c r="A31" s="121" t="s">
        <v>164</v>
      </c>
      <c r="B31" s="124">
        <v>145089917</v>
      </c>
      <c r="C31" s="124">
        <v>3456</v>
      </c>
      <c r="D31" s="124">
        <v>7834976</v>
      </c>
      <c r="E31" s="124">
        <v>55981200</v>
      </c>
      <c r="F31" s="124">
        <v>15130986</v>
      </c>
      <c r="G31" s="124">
        <v>16241089</v>
      </c>
      <c r="H31" s="124">
        <v>41809649</v>
      </c>
      <c r="I31" s="125">
        <v>8088561</v>
      </c>
      <c r="J31" s="125"/>
      <c r="K31" s="125"/>
      <c r="L31" s="125"/>
      <c r="M31" s="125"/>
      <c r="N31" s="125"/>
      <c r="P31" t="str">
        <f t="shared" si="0"/>
        <v>Ⅵ.영업외수익</v>
      </c>
      <c r="Q31" t="str">
        <f>IF(A31="","",P31&amp;"|"&amp;COUNTIF($P$2:P31,P31))</f>
        <v>Ⅵ.영업외수익|1</v>
      </c>
    </row>
    <row r="32" spans="1:17" ht="13.5" customHeight="1">
      <c r="A32" s="119" t="s">
        <v>165</v>
      </c>
      <c r="B32" s="124">
        <v>113934601</v>
      </c>
      <c r="C32" s="124">
        <v>2656</v>
      </c>
      <c r="D32" s="124">
        <v>5106911</v>
      </c>
      <c r="E32" s="124">
        <v>53038190</v>
      </c>
      <c r="F32" s="124">
        <v>4923</v>
      </c>
      <c r="G32" s="124">
        <v>12790289</v>
      </c>
      <c r="H32" s="124">
        <v>38353858</v>
      </c>
      <c r="I32" s="125">
        <v>4637774</v>
      </c>
      <c r="J32" s="125"/>
      <c r="K32" s="125"/>
      <c r="L32" s="125"/>
      <c r="M32" s="125"/>
      <c r="N32" s="125"/>
      <c r="P32" t="str">
        <f t="shared" si="0"/>
        <v>이자수익</v>
      </c>
      <c r="Q32" t="str">
        <f>IF(A32="","",P32&amp;"|"&amp;COUNTIF($P$2:P32,P32))</f>
        <v>이자수익|1</v>
      </c>
    </row>
    <row r="33" spans="1:17" ht="13.5" customHeight="1">
      <c r="A33" s="122" t="s">
        <v>166</v>
      </c>
      <c r="B33" s="124">
        <v>9493467</v>
      </c>
      <c r="C33" s="124">
        <v>0</v>
      </c>
      <c r="D33" s="124">
        <v>0</v>
      </c>
      <c r="E33" s="124">
        <v>0</v>
      </c>
      <c r="F33" s="124">
        <v>9493467</v>
      </c>
      <c r="G33" s="124">
        <v>0</v>
      </c>
      <c r="H33" s="124">
        <v>0</v>
      </c>
      <c r="I33" s="125">
        <v>0</v>
      </c>
      <c r="J33" s="125"/>
      <c r="K33" s="125"/>
      <c r="L33" s="125"/>
      <c r="M33" s="125"/>
      <c r="N33" s="125"/>
      <c r="P33" t="str">
        <f t="shared" si="0"/>
        <v>외환차익</v>
      </c>
      <c r="Q33" t="str">
        <f>IF(A33="","",P33&amp;"|"&amp;COUNTIF($P$2:P33,P33))</f>
        <v>외환차익|1</v>
      </c>
    </row>
    <row r="34" spans="1:17" ht="13.5" customHeight="1">
      <c r="A34" s="122" t="s">
        <v>316</v>
      </c>
      <c r="B34" s="124">
        <v>7089909</v>
      </c>
      <c r="C34" s="124">
        <v>0</v>
      </c>
      <c r="D34" s="124">
        <v>2727273</v>
      </c>
      <c r="E34" s="124">
        <v>2180818</v>
      </c>
      <c r="F34" s="124">
        <v>2181818</v>
      </c>
      <c r="G34" s="124">
        <v>0</v>
      </c>
      <c r="H34" s="124">
        <v>0</v>
      </c>
      <c r="I34" s="125">
        <v>0</v>
      </c>
      <c r="J34" s="125"/>
      <c r="K34" s="125"/>
      <c r="L34" s="125"/>
      <c r="M34" s="125"/>
      <c r="N34" s="125"/>
      <c r="P34" t="str">
        <f t="shared" si="0"/>
        <v>유형자산처분이익</v>
      </c>
      <c r="Q34" t="str">
        <f>IF(A34="","",P34&amp;"|"&amp;COUNTIF($P$2:P34,P34))</f>
        <v>유형자산처분이익|1</v>
      </c>
    </row>
    <row r="35" spans="1:17" ht="13.5" customHeight="1">
      <c r="A35" s="119" t="s">
        <v>171</v>
      </c>
      <c r="B35" s="124">
        <v>14571940</v>
      </c>
      <c r="C35" s="124">
        <v>800</v>
      </c>
      <c r="D35" s="124">
        <v>792</v>
      </c>
      <c r="E35" s="124">
        <v>762192</v>
      </c>
      <c r="F35" s="124">
        <v>3450778</v>
      </c>
      <c r="G35" s="124">
        <v>3450800</v>
      </c>
      <c r="H35" s="124">
        <v>3455791</v>
      </c>
      <c r="I35" s="125">
        <v>3450787</v>
      </c>
      <c r="J35" s="125"/>
      <c r="K35" s="125"/>
      <c r="L35" s="125"/>
      <c r="M35" s="125"/>
      <c r="N35" s="125"/>
      <c r="P35" t="str">
        <f t="shared" si="0"/>
        <v>잡이익</v>
      </c>
      <c r="Q35" t="str">
        <f>IF(A35="","",P35&amp;"|"&amp;COUNTIF($P$2:P35,P35))</f>
        <v>잡이익|1</v>
      </c>
    </row>
    <row r="36" spans="1:17" ht="13.5" customHeight="1">
      <c r="A36" s="119" t="s">
        <v>172</v>
      </c>
      <c r="B36" s="124">
        <v>1315405</v>
      </c>
      <c r="C36" s="124">
        <v>0</v>
      </c>
      <c r="D36" s="124">
        <v>1112869</v>
      </c>
      <c r="E36" s="124">
        <v>32000</v>
      </c>
      <c r="F36" s="124">
        <v>20600</v>
      </c>
      <c r="G36" s="124">
        <v>56000</v>
      </c>
      <c r="H36" s="124">
        <v>92006</v>
      </c>
      <c r="I36" s="125">
        <v>1930</v>
      </c>
      <c r="J36" s="125"/>
      <c r="K36" s="125"/>
      <c r="L36" s="125"/>
      <c r="M36" s="125"/>
      <c r="N36" s="125"/>
      <c r="P36" t="str">
        <f t="shared" si="0"/>
        <v>Ⅶ.영업외비용</v>
      </c>
      <c r="Q36" t="str">
        <f>IF(A36="","",P36&amp;"|"&amp;COUNTIF($P$2:P36,P36))</f>
        <v>Ⅶ.영업외비용|1</v>
      </c>
    </row>
    <row r="37" spans="1:17" ht="13.5" customHeight="1">
      <c r="A37" s="119" t="s">
        <v>174</v>
      </c>
      <c r="B37" s="124">
        <v>1131469</v>
      </c>
      <c r="C37" s="124">
        <v>0</v>
      </c>
      <c r="D37" s="124">
        <v>1111869</v>
      </c>
      <c r="E37" s="124">
        <v>0</v>
      </c>
      <c r="F37" s="124">
        <v>19600</v>
      </c>
      <c r="G37" s="124">
        <v>0</v>
      </c>
      <c r="H37" s="124">
        <v>0</v>
      </c>
      <c r="I37" s="125">
        <v>0</v>
      </c>
      <c r="J37" s="125"/>
      <c r="K37" s="125"/>
      <c r="L37" s="125"/>
      <c r="M37" s="125"/>
      <c r="N37" s="125"/>
      <c r="P37" t="str">
        <f t="shared" si="0"/>
        <v>외환차손</v>
      </c>
      <c r="Q37" t="str">
        <f>IF(A37="","",P37&amp;"|"&amp;COUNTIF($P$2:P37,P37))</f>
        <v>외환차손|1</v>
      </c>
    </row>
    <row r="38" spans="1:17" ht="11.25" customHeight="1">
      <c r="A38" s="122" t="s">
        <v>177</v>
      </c>
      <c r="B38" s="124">
        <v>2000</v>
      </c>
      <c r="C38" s="124">
        <v>0</v>
      </c>
      <c r="D38" s="124">
        <v>1000</v>
      </c>
      <c r="E38" s="124">
        <v>0</v>
      </c>
      <c r="F38" s="124">
        <v>1000</v>
      </c>
      <c r="G38" s="124">
        <v>0</v>
      </c>
      <c r="H38" s="124">
        <v>0</v>
      </c>
      <c r="I38" s="125">
        <v>0</v>
      </c>
      <c r="J38" s="125"/>
      <c r="K38" s="125"/>
      <c r="L38" s="125"/>
      <c r="M38" s="125"/>
      <c r="N38" s="125"/>
      <c r="P38" t="str">
        <f t="shared" si="0"/>
        <v>유형자산처분손실</v>
      </c>
      <c r="Q38" t="str">
        <f>IF(A38="","",P38&amp;"|"&amp;COUNTIF($P$2:P38,P38))</f>
        <v>유형자산처분손실|1</v>
      </c>
    </row>
    <row r="39" spans="1:17" ht="13.5" customHeight="1">
      <c r="A39" s="119" t="s">
        <v>178</v>
      </c>
      <c r="B39" s="124">
        <v>181936</v>
      </c>
      <c r="C39" s="124">
        <v>0</v>
      </c>
      <c r="D39" s="124">
        <v>0</v>
      </c>
      <c r="E39" s="124">
        <v>32000</v>
      </c>
      <c r="F39" s="124">
        <v>0</v>
      </c>
      <c r="G39" s="124">
        <v>56000</v>
      </c>
      <c r="H39" s="124">
        <v>92006</v>
      </c>
      <c r="I39" s="125">
        <v>1930</v>
      </c>
      <c r="J39" s="125"/>
      <c r="K39" s="125"/>
      <c r="L39" s="125"/>
      <c r="M39" s="125"/>
      <c r="N39" s="125"/>
      <c r="P39" t="str">
        <f t="shared" si="0"/>
        <v>잡손실</v>
      </c>
      <c r="Q39" t="str">
        <f>IF(A39="","",P39&amp;"|"&amp;COUNTIF($P$2:P39,P39))</f>
        <v>잡손실|1</v>
      </c>
    </row>
    <row r="40" spans="1:17" ht="13.5" customHeight="1">
      <c r="A40" s="121" t="s">
        <v>180</v>
      </c>
      <c r="B40" s="124">
        <v>1851830746</v>
      </c>
      <c r="C40" s="124">
        <v>201925702</v>
      </c>
      <c r="D40" s="124">
        <v>184712819</v>
      </c>
      <c r="E40" s="124">
        <v>504606614</v>
      </c>
      <c r="F40" s="124">
        <v>331973441</v>
      </c>
      <c r="G40" s="124">
        <v>260393962</v>
      </c>
      <c r="H40" s="124">
        <v>193221709</v>
      </c>
      <c r="I40" s="125">
        <v>174996499</v>
      </c>
      <c r="J40" s="125"/>
      <c r="K40" s="125"/>
      <c r="L40" s="125"/>
      <c r="M40" s="125"/>
      <c r="N40" s="125"/>
      <c r="P40" t="str">
        <f t="shared" si="0"/>
        <v>Ⅷ.법인세비용차감전순이익</v>
      </c>
      <c r="Q40" t="str">
        <f>IF(A40="","",P40&amp;"|"&amp;COUNTIF($P$2:P40,P40))</f>
        <v>Ⅷ.법인세비용차감전순이익|1</v>
      </c>
    </row>
    <row r="41" spans="1:17" ht="11.25" customHeight="1">
      <c r="A41" s="121" t="s">
        <v>181</v>
      </c>
      <c r="B41" s="124">
        <v>0</v>
      </c>
      <c r="C41" s="124">
        <v>0</v>
      </c>
      <c r="D41" s="124">
        <v>0</v>
      </c>
      <c r="E41" s="124">
        <v>0</v>
      </c>
      <c r="F41" s="124">
        <v>0</v>
      </c>
      <c r="G41" s="124">
        <v>0</v>
      </c>
      <c r="H41" s="124">
        <v>0</v>
      </c>
      <c r="I41" s="125">
        <v>0</v>
      </c>
      <c r="J41" s="125"/>
      <c r="K41" s="125"/>
      <c r="L41" s="125"/>
      <c r="M41" s="125"/>
      <c r="N41" s="125"/>
      <c r="P41" t="str">
        <f t="shared" si="0"/>
        <v>Ⅸ.법인세비용</v>
      </c>
      <c r="Q41" t="str">
        <f>IF(A41="","",P41&amp;"|"&amp;COUNTIF($P$2:P41,P41))</f>
        <v>Ⅸ.법인세비용|1</v>
      </c>
    </row>
    <row r="42" spans="1:17" ht="13.5" customHeight="1">
      <c r="A42" s="119" t="s">
        <v>183</v>
      </c>
      <c r="B42" s="124">
        <v>1851830746</v>
      </c>
      <c r="C42" s="124">
        <v>201925702</v>
      </c>
      <c r="D42" s="124">
        <v>184712819</v>
      </c>
      <c r="E42" s="124">
        <v>504606614</v>
      </c>
      <c r="F42" s="124">
        <v>331973441</v>
      </c>
      <c r="G42" s="124">
        <v>260393962</v>
      </c>
      <c r="H42" s="124">
        <v>193221709</v>
      </c>
      <c r="I42" s="124">
        <v>174996499</v>
      </c>
      <c r="J42" s="124"/>
      <c r="K42" s="124"/>
      <c r="L42" s="124"/>
      <c r="M42" s="124"/>
      <c r="N42" s="124"/>
      <c r="P42" t="str">
        <f t="shared" si="0"/>
        <v>Ⅹ.당기순이익</v>
      </c>
      <c r="Q42" t="str">
        <f>IF(A42="","",P42&amp;"|"&amp;COUNTIF($P$2:P42,P42))</f>
        <v>Ⅹ.당기순이익|1</v>
      </c>
    </row>
    <row r="43" spans="1:17" ht="13.5" customHeight="1">
      <c r="A43" s="119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</row>
    <row r="44" spans="1:17" ht="13.5" customHeight="1">
      <c r="A44" s="119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</row>
    <row r="45" spans="1:17" ht="11.25" customHeight="1">
      <c r="A45" s="121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</row>
    <row r="46" spans="1:17" ht="13.5" customHeight="1">
      <c r="A46" s="121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</row>
    <row r="47" spans="1:17" ht="13.5" customHeight="1">
      <c r="A47" s="121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</row>
    <row r="48" spans="1:17" ht="13.5" customHeight="1">
      <c r="A48" s="121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</row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80"/>
  <sheetViews>
    <sheetView showGridLines="0" zoomScaleNormal="100" workbookViewId="0">
      <selection activeCell="P3" sqref="P3"/>
    </sheetView>
  </sheetViews>
  <sheetFormatPr defaultColWidth="15.33203125" defaultRowHeight="11.25"/>
  <cols>
    <col min="1" max="1" width="30" customWidth="1"/>
    <col min="2" max="2" width="20" customWidth="1"/>
    <col min="3" max="3" width="15.1640625" customWidth="1"/>
    <col min="4" max="14" width="20" customWidth="1"/>
    <col min="15" max="16" width="13" customWidth="1"/>
    <col min="254" max="254" width="30" customWidth="1"/>
    <col min="255" max="260" width="20" customWidth="1"/>
    <col min="510" max="510" width="30" customWidth="1"/>
    <col min="511" max="516" width="20" customWidth="1"/>
    <col min="766" max="766" width="30" customWidth="1"/>
    <col min="767" max="772" width="20" customWidth="1"/>
    <col min="1022" max="1022" width="30" customWidth="1"/>
    <col min="1023" max="1028" width="20" customWidth="1"/>
    <col min="1278" max="1278" width="30" customWidth="1"/>
    <col min="1279" max="1284" width="20" customWidth="1"/>
    <col min="1534" max="1534" width="30" customWidth="1"/>
    <col min="1535" max="1540" width="20" customWidth="1"/>
    <col min="1790" max="1790" width="30" customWidth="1"/>
    <col min="1791" max="1796" width="20" customWidth="1"/>
    <col min="2046" max="2046" width="30" customWidth="1"/>
    <col min="2047" max="2052" width="20" customWidth="1"/>
    <col min="2302" max="2302" width="30" customWidth="1"/>
    <col min="2303" max="2308" width="20" customWidth="1"/>
    <col min="2558" max="2558" width="30" customWidth="1"/>
    <col min="2559" max="2564" width="20" customWidth="1"/>
    <col min="2814" max="2814" width="30" customWidth="1"/>
    <col min="2815" max="2820" width="20" customWidth="1"/>
    <col min="3070" max="3070" width="30" customWidth="1"/>
    <col min="3071" max="3076" width="20" customWidth="1"/>
    <col min="3326" max="3326" width="30" customWidth="1"/>
    <col min="3327" max="3332" width="20" customWidth="1"/>
    <col min="3582" max="3582" width="30" customWidth="1"/>
    <col min="3583" max="3588" width="20" customWidth="1"/>
    <col min="3838" max="3838" width="30" customWidth="1"/>
    <col min="3839" max="3844" width="20" customWidth="1"/>
    <col min="4094" max="4094" width="30" customWidth="1"/>
    <col min="4095" max="4100" width="20" customWidth="1"/>
    <col min="4350" max="4350" width="30" customWidth="1"/>
    <col min="4351" max="4356" width="20" customWidth="1"/>
    <col min="4606" max="4606" width="30" customWidth="1"/>
    <col min="4607" max="4612" width="20" customWidth="1"/>
    <col min="4862" max="4862" width="30" customWidth="1"/>
    <col min="4863" max="4868" width="20" customWidth="1"/>
    <col min="5118" max="5118" width="30" customWidth="1"/>
    <col min="5119" max="5124" width="20" customWidth="1"/>
    <col min="5374" max="5374" width="30" customWidth="1"/>
    <col min="5375" max="5380" width="20" customWidth="1"/>
    <col min="5630" max="5630" width="30" customWidth="1"/>
    <col min="5631" max="5636" width="20" customWidth="1"/>
    <col min="5886" max="5886" width="30" customWidth="1"/>
    <col min="5887" max="5892" width="20" customWidth="1"/>
    <col min="6142" max="6142" width="30" customWidth="1"/>
    <col min="6143" max="6148" width="20" customWidth="1"/>
    <col min="6398" max="6398" width="30" customWidth="1"/>
    <col min="6399" max="6404" width="20" customWidth="1"/>
    <col min="6654" max="6654" width="30" customWidth="1"/>
    <col min="6655" max="6660" width="20" customWidth="1"/>
    <col min="6910" max="6910" width="30" customWidth="1"/>
    <col min="6911" max="6916" width="20" customWidth="1"/>
    <col min="7166" max="7166" width="30" customWidth="1"/>
    <col min="7167" max="7172" width="20" customWidth="1"/>
    <col min="7422" max="7422" width="30" customWidth="1"/>
    <col min="7423" max="7428" width="20" customWidth="1"/>
    <col min="7678" max="7678" width="30" customWidth="1"/>
    <col min="7679" max="7684" width="20" customWidth="1"/>
    <col min="7934" max="7934" width="30" customWidth="1"/>
    <col min="7935" max="7940" width="20" customWidth="1"/>
    <col min="8190" max="8190" width="30" customWidth="1"/>
    <col min="8191" max="8196" width="20" customWidth="1"/>
    <col min="8446" max="8446" width="30" customWidth="1"/>
    <col min="8447" max="8452" width="20" customWidth="1"/>
    <col min="8702" max="8702" width="30" customWidth="1"/>
    <col min="8703" max="8708" width="20" customWidth="1"/>
    <col min="8958" max="8958" width="30" customWidth="1"/>
    <col min="8959" max="8964" width="20" customWidth="1"/>
    <col min="9214" max="9214" width="30" customWidth="1"/>
    <col min="9215" max="9220" width="20" customWidth="1"/>
    <col min="9470" max="9470" width="30" customWidth="1"/>
    <col min="9471" max="9476" width="20" customWidth="1"/>
    <col min="9726" max="9726" width="30" customWidth="1"/>
    <col min="9727" max="9732" width="20" customWidth="1"/>
    <col min="9982" max="9982" width="30" customWidth="1"/>
    <col min="9983" max="9988" width="20" customWidth="1"/>
    <col min="10238" max="10238" width="30" customWidth="1"/>
    <col min="10239" max="10244" width="20" customWidth="1"/>
    <col min="10494" max="10494" width="30" customWidth="1"/>
    <col min="10495" max="10500" width="20" customWidth="1"/>
    <col min="10750" max="10750" width="30" customWidth="1"/>
    <col min="10751" max="10756" width="20" customWidth="1"/>
    <col min="11006" max="11006" width="30" customWidth="1"/>
    <col min="11007" max="11012" width="20" customWidth="1"/>
    <col min="11262" max="11262" width="30" customWidth="1"/>
    <col min="11263" max="11268" width="20" customWidth="1"/>
    <col min="11518" max="11518" width="30" customWidth="1"/>
    <col min="11519" max="11524" width="20" customWidth="1"/>
    <col min="11774" max="11774" width="30" customWidth="1"/>
    <col min="11775" max="11780" width="20" customWidth="1"/>
    <col min="12030" max="12030" width="30" customWidth="1"/>
    <col min="12031" max="12036" width="20" customWidth="1"/>
    <col min="12286" max="12286" width="30" customWidth="1"/>
    <col min="12287" max="12292" width="20" customWidth="1"/>
    <col min="12542" max="12542" width="30" customWidth="1"/>
    <col min="12543" max="12548" width="20" customWidth="1"/>
    <col min="12798" max="12798" width="30" customWidth="1"/>
    <col min="12799" max="12804" width="20" customWidth="1"/>
    <col min="13054" max="13054" width="30" customWidth="1"/>
    <col min="13055" max="13060" width="20" customWidth="1"/>
    <col min="13310" max="13310" width="30" customWidth="1"/>
    <col min="13311" max="13316" width="20" customWidth="1"/>
    <col min="13566" max="13566" width="30" customWidth="1"/>
    <col min="13567" max="13572" width="20" customWidth="1"/>
    <col min="13822" max="13822" width="30" customWidth="1"/>
    <col min="13823" max="13828" width="20" customWidth="1"/>
    <col min="14078" max="14078" width="30" customWidth="1"/>
    <col min="14079" max="14084" width="20" customWidth="1"/>
    <col min="14334" max="14334" width="30" customWidth="1"/>
    <col min="14335" max="14340" width="20" customWidth="1"/>
    <col min="14590" max="14590" width="30" customWidth="1"/>
    <col min="14591" max="14596" width="20" customWidth="1"/>
    <col min="14846" max="14846" width="30" customWidth="1"/>
    <col min="14847" max="14852" width="20" customWidth="1"/>
    <col min="15102" max="15102" width="30" customWidth="1"/>
    <col min="15103" max="15108" width="20" customWidth="1"/>
    <col min="15358" max="15358" width="30" customWidth="1"/>
    <col min="15359" max="15364" width="20" customWidth="1"/>
    <col min="15614" max="15614" width="30" customWidth="1"/>
    <col min="15615" max="15620" width="20" customWidth="1"/>
    <col min="15870" max="15870" width="30" customWidth="1"/>
    <col min="15871" max="15876" width="20" customWidth="1"/>
    <col min="16126" max="16126" width="30" customWidth="1"/>
    <col min="16127" max="16132" width="20" customWidth="1"/>
  </cols>
  <sheetData>
    <row r="1" spans="1:16" ht="16.5" customHeight="1">
      <c r="A1" s="118" t="s">
        <v>43</v>
      </c>
      <c r="B1" s="118" t="s">
        <v>184</v>
      </c>
      <c r="C1" s="123" t="s">
        <v>185</v>
      </c>
      <c r="D1" s="123" t="s">
        <v>186</v>
      </c>
      <c r="E1" s="123" t="s">
        <v>187</v>
      </c>
      <c r="F1" s="123" t="s">
        <v>188</v>
      </c>
      <c r="G1" s="123" t="s">
        <v>189</v>
      </c>
      <c r="H1" s="123" t="s">
        <v>190</v>
      </c>
      <c r="I1" s="123" t="s">
        <v>310</v>
      </c>
      <c r="J1" s="123" t="s">
        <v>311</v>
      </c>
      <c r="K1" s="123" t="s">
        <v>312</v>
      </c>
      <c r="L1" s="123" t="s">
        <v>313</v>
      </c>
      <c r="M1" s="123" t="s">
        <v>314</v>
      </c>
      <c r="N1" s="123" t="s">
        <v>315</v>
      </c>
    </row>
    <row r="2" spans="1:16" ht="13.5" customHeight="1">
      <c r="A2" s="121" t="s">
        <v>130</v>
      </c>
      <c r="B2" s="124">
        <v>19689650568</v>
      </c>
      <c r="C2" s="124">
        <v>2259822004</v>
      </c>
      <c r="D2" s="124">
        <v>2611620075</v>
      </c>
      <c r="E2" s="124">
        <v>3088311293</v>
      </c>
      <c r="F2" s="124">
        <v>3252016356</v>
      </c>
      <c r="G2" s="124">
        <v>2900947613</v>
      </c>
      <c r="H2" s="124">
        <v>2811952670</v>
      </c>
      <c r="I2" s="125">
        <v>2764980557</v>
      </c>
      <c r="J2" s="125"/>
      <c r="K2" s="125"/>
      <c r="L2" s="125"/>
      <c r="M2" s="125"/>
      <c r="N2" s="125"/>
      <c r="O2" t="str">
        <f t="shared" ref="O2:O41" si="0">IF(A2="","",SUBSTITUTE(A2," ",""))</f>
        <v>Ⅰ.매출액</v>
      </c>
      <c r="P2" t="str">
        <f>IF(A2="","",O2&amp;"|"&amp;COUNTIF($O$2:O2,O2))</f>
        <v>Ⅰ.매출액|1</v>
      </c>
    </row>
    <row r="3" spans="1:16" ht="13.5" customHeight="1">
      <c r="A3" s="119" t="s">
        <v>131</v>
      </c>
      <c r="B3" s="124">
        <v>19576088228</v>
      </c>
      <c r="C3" s="124">
        <v>2249949486</v>
      </c>
      <c r="D3" s="124">
        <v>2611620075</v>
      </c>
      <c r="E3" s="124">
        <v>2987460975</v>
      </c>
      <c r="F3" s="124">
        <v>3252016356</v>
      </c>
      <c r="G3" s="124">
        <v>2898108109</v>
      </c>
      <c r="H3" s="124">
        <v>2811952670</v>
      </c>
      <c r="I3" s="125">
        <v>2764980557</v>
      </c>
      <c r="J3" s="125"/>
      <c r="K3" s="125"/>
      <c r="L3" s="125"/>
      <c r="M3" s="125"/>
      <c r="N3" s="125"/>
      <c r="O3" t="str">
        <f t="shared" si="0"/>
        <v>상품매출</v>
      </c>
      <c r="P3" t="str">
        <f>IF(A3="","",O3&amp;"|"&amp;COUNTIF($O$2:O3,O3))</f>
        <v>상품매출|1</v>
      </c>
    </row>
    <row r="4" spans="1:16" ht="13.5" customHeight="1">
      <c r="A4" s="119" t="s">
        <v>132</v>
      </c>
      <c r="B4" s="124">
        <v>113562340</v>
      </c>
      <c r="C4" s="124">
        <v>9872518</v>
      </c>
      <c r="D4" s="124">
        <v>0</v>
      </c>
      <c r="E4" s="124">
        <v>100850318</v>
      </c>
      <c r="F4" s="124">
        <v>0</v>
      </c>
      <c r="G4" s="124">
        <v>2839504</v>
      </c>
      <c r="H4" s="124">
        <v>0</v>
      </c>
      <c r="I4" s="125">
        <v>0</v>
      </c>
      <c r="J4" s="125"/>
      <c r="K4" s="125"/>
      <c r="L4" s="125"/>
      <c r="M4" s="125"/>
      <c r="N4" s="125"/>
      <c r="O4" t="str">
        <f t="shared" si="0"/>
        <v>상품수출매출</v>
      </c>
      <c r="P4" t="str">
        <f>IF(A4="","",O4&amp;"|"&amp;COUNTIF($O$2:O4,O4))</f>
        <v>상품수출매출|1</v>
      </c>
    </row>
    <row r="5" spans="1:16" ht="13.5" customHeight="1">
      <c r="A5" s="121" t="s">
        <v>133</v>
      </c>
      <c r="B5" s="124">
        <v>16467043458</v>
      </c>
      <c r="C5" s="124">
        <v>1932310934</v>
      </c>
      <c r="D5" s="124">
        <v>2202706401</v>
      </c>
      <c r="E5" s="124">
        <v>2584452050</v>
      </c>
      <c r="F5" s="124">
        <v>2720044477</v>
      </c>
      <c r="G5" s="124">
        <v>2408362753</v>
      </c>
      <c r="H5" s="124">
        <v>2294682196</v>
      </c>
      <c r="I5" s="125">
        <v>2324484647</v>
      </c>
      <c r="J5" s="125"/>
      <c r="K5" s="125"/>
      <c r="L5" s="125"/>
      <c r="M5" s="125"/>
      <c r="N5" s="125"/>
      <c r="O5" t="str">
        <f t="shared" si="0"/>
        <v>Ⅱ.매출원가</v>
      </c>
      <c r="P5" t="str">
        <f>IF(A5="","",O5&amp;"|"&amp;COUNTIF($O$2:O5,O5))</f>
        <v>Ⅱ.매출원가|1</v>
      </c>
    </row>
    <row r="6" spans="1:16" ht="13.5" customHeight="1">
      <c r="A6" s="119" t="s">
        <v>134</v>
      </c>
      <c r="B6" s="124">
        <v>16467043458</v>
      </c>
      <c r="C6" s="124">
        <v>1932310934</v>
      </c>
      <c r="D6" s="124">
        <v>2202706401</v>
      </c>
      <c r="E6" s="124">
        <v>2584452050</v>
      </c>
      <c r="F6" s="124">
        <v>2720044477</v>
      </c>
      <c r="G6" s="124">
        <v>2408362753</v>
      </c>
      <c r="H6" s="124">
        <v>2294682196</v>
      </c>
      <c r="I6" s="125">
        <v>2324484647</v>
      </c>
      <c r="J6" s="125"/>
      <c r="K6" s="125"/>
      <c r="L6" s="125"/>
      <c r="M6" s="125"/>
      <c r="N6" s="125"/>
      <c r="O6" t="str">
        <f t="shared" si="0"/>
        <v>상품매출원가</v>
      </c>
      <c r="P6" t="str">
        <f>IF(A6="","",O6&amp;"|"&amp;COUNTIF($O$2:O6,O6))</f>
        <v>상품매출원가|1</v>
      </c>
    </row>
    <row r="7" spans="1:16" ht="13.5" customHeight="1">
      <c r="A7" s="119" t="s">
        <v>135</v>
      </c>
      <c r="B7" s="124">
        <v>2098835763</v>
      </c>
      <c r="C7" s="124">
        <v>2098835763</v>
      </c>
      <c r="D7" s="124">
        <v>2202511203</v>
      </c>
      <c r="E7" s="124">
        <v>2199480449</v>
      </c>
      <c r="F7" s="124">
        <v>2215051462</v>
      </c>
      <c r="G7" s="124">
        <v>2183380286</v>
      </c>
      <c r="H7" s="124">
        <v>2098118507</v>
      </c>
      <c r="I7" s="125">
        <v>2164065867</v>
      </c>
      <c r="J7" s="125"/>
      <c r="K7" s="125"/>
      <c r="L7" s="125"/>
      <c r="M7" s="125"/>
      <c r="N7" s="125"/>
      <c r="O7" t="str">
        <f t="shared" si="0"/>
        <v>기초상품재고액</v>
      </c>
      <c r="P7" t="str">
        <f>IF(A7="","",O7&amp;"|"&amp;COUNTIF($O$2:O7,O7))</f>
        <v>기초상품재고액|1</v>
      </c>
    </row>
    <row r="8" spans="1:16" ht="13.5" customHeight="1">
      <c r="A8" s="119" t="s">
        <v>136</v>
      </c>
      <c r="B8" s="124">
        <v>16610240340</v>
      </c>
      <c r="C8" s="124">
        <v>2046901901</v>
      </c>
      <c r="D8" s="124">
        <v>2207681760</v>
      </c>
      <c r="E8" s="124">
        <v>2607090450</v>
      </c>
      <c r="F8" s="124">
        <v>2698904276</v>
      </c>
      <c r="G8" s="124">
        <v>2335105851</v>
      </c>
      <c r="H8" s="124">
        <v>2367296740</v>
      </c>
      <c r="I8" s="125">
        <v>2347259362</v>
      </c>
      <c r="J8" s="125"/>
      <c r="K8" s="125"/>
      <c r="L8" s="125"/>
      <c r="M8" s="125"/>
      <c r="N8" s="125"/>
      <c r="O8" t="str">
        <f t="shared" si="0"/>
        <v>당기상품매입액</v>
      </c>
      <c r="P8" t="str">
        <f>IF(A8="","",O8&amp;"|"&amp;COUNTIF($O$2:O8,O8))</f>
        <v>당기상품매입액|1</v>
      </c>
    </row>
    <row r="9" spans="1:16" ht="13.5" customHeight="1">
      <c r="A9" s="119" t="s">
        <v>137</v>
      </c>
      <c r="B9" s="124">
        <v>62693149</v>
      </c>
      <c r="C9" s="124">
        <v>10915527</v>
      </c>
      <c r="D9" s="124">
        <v>8006113</v>
      </c>
      <c r="E9" s="124">
        <v>7067387</v>
      </c>
      <c r="F9" s="124">
        <v>10530975</v>
      </c>
      <c r="G9" s="124">
        <v>12004877</v>
      </c>
      <c r="H9" s="124">
        <v>6667184</v>
      </c>
      <c r="I9" s="125">
        <v>7501086</v>
      </c>
      <c r="J9" s="125"/>
      <c r="K9" s="125"/>
      <c r="L9" s="125"/>
      <c r="M9" s="125"/>
      <c r="N9" s="125"/>
      <c r="O9" t="str">
        <f t="shared" si="0"/>
        <v>매입할인</v>
      </c>
      <c r="P9" t="str">
        <f>IF(A9="","",O9&amp;"|"&amp;COUNTIF($O$2:O9,O9))</f>
        <v>매입할인|1</v>
      </c>
    </row>
    <row r="10" spans="1:16" ht="13.5" customHeight="1">
      <c r="A10" s="119" t="s">
        <v>138</v>
      </c>
      <c r="B10" s="124">
        <v>2179339496</v>
      </c>
      <c r="C10" s="124">
        <v>2202511203</v>
      </c>
      <c r="D10" s="124">
        <v>2199480449</v>
      </c>
      <c r="E10" s="124">
        <v>2215051462</v>
      </c>
      <c r="F10" s="124">
        <v>2183380286</v>
      </c>
      <c r="G10" s="124">
        <v>2098118507</v>
      </c>
      <c r="H10" s="124">
        <v>2164065867</v>
      </c>
      <c r="I10" s="125">
        <v>2179339496</v>
      </c>
      <c r="J10" s="125"/>
      <c r="K10" s="125"/>
      <c r="L10" s="125"/>
      <c r="M10" s="125"/>
      <c r="N10" s="125"/>
      <c r="O10" t="str">
        <f t="shared" si="0"/>
        <v>기말상품재고액</v>
      </c>
      <c r="P10" t="str">
        <f>IF(A10="","",O10&amp;"|"&amp;COUNTIF($O$2:O10,O10))</f>
        <v>기말상품재고액|1</v>
      </c>
    </row>
    <row r="11" spans="1:16" ht="13.5" customHeight="1">
      <c r="A11" s="121" t="s">
        <v>139</v>
      </c>
      <c r="B11" s="124">
        <v>3222607110</v>
      </c>
      <c r="C11" s="124">
        <v>327511070</v>
      </c>
      <c r="D11" s="124">
        <v>408913674</v>
      </c>
      <c r="E11" s="124">
        <v>503859243</v>
      </c>
      <c r="F11" s="124">
        <v>531971879</v>
      </c>
      <c r="G11" s="124">
        <v>492584860</v>
      </c>
      <c r="H11" s="124">
        <v>517270474</v>
      </c>
      <c r="I11" s="125">
        <v>440495910</v>
      </c>
      <c r="J11" s="125"/>
      <c r="K11" s="125"/>
      <c r="L11" s="125"/>
      <c r="M11" s="125"/>
      <c r="N11" s="125"/>
      <c r="O11" t="str">
        <f t="shared" si="0"/>
        <v>Ⅲ.매출총이익</v>
      </c>
      <c r="P11" t="str">
        <f>IF(A11="","",O11&amp;"|"&amp;COUNTIF($O$2:O11,O11))</f>
        <v>Ⅲ.매출총이익|1</v>
      </c>
    </row>
    <row r="12" spans="1:16" ht="13.5" customHeight="1">
      <c r="A12" s="121" t="s">
        <v>140</v>
      </c>
      <c r="B12" s="124">
        <v>1948634682</v>
      </c>
      <c r="C12" s="124">
        <v>286769154</v>
      </c>
      <c r="D12" s="124">
        <v>260263942</v>
      </c>
      <c r="E12" s="124">
        <v>281123798</v>
      </c>
      <c r="F12" s="124">
        <v>266372656</v>
      </c>
      <c r="G12" s="124">
        <v>268138369</v>
      </c>
      <c r="H12" s="124">
        <v>312221903</v>
      </c>
      <c r="I12" s="125">
        <v>273744860</v>
      </c>
      <c r="J12" s="125"/>
      <c r="K12" s="125"/>
      <c r="L12" s="125"/>
      <c r="M12" s="125"/>
      <c r="N12" s="125"/>
      <c r="O12" t="str">
        <f t="shared" si="0"/>
        <v>Ⅳ.판매관리비</v>
      </c>
      <c r="P12" t="str">
        <f>IF(A12="","",O12&amp;"|"&amp;COUNTIF($O$2:O12,O12))</f>
        <v>Ⅳ.판매관리비|1</v>
      </c>
    </row>
    <row r="13" spans="1:16" ht="13.5" customHeight="1">
      <c r="A13" s="119" t="s">
        <v>142</v>
      </c>
      <c r="B13" s="124">
        <v>1170857179</v>
      </c>
      <c r="C13" s="124">
        <v>159934683</v>
      </c>
      <c r="D13" s="124">
        <v>160558333</v>
      </c>
      <c r="E13" s="124">
        <v>162139803</v>
      </c>
      <c r="F13" s="124">
        <v>159965336</v>
      </c>
      <c r="G13" s="124">
        <v>156225003</v>
      </c>
      <c r="H13" s="124">
        <v>206817353</v>
      </c>
      <c r="I13" s="125">
        <v>165216668</v>
      </c>
      <c r="J13" s="125"/>
      <c r="K13" s="125"/>
      <c r="L13" s="125"/>
      <c r="M13" s="125"/>
      <c r="N13" s="125"/>
      <c r="O13" t="str">
        <f t="shared" si="0"/>
        <v>직원급여</v>
      </c>
      <c r="P13" t="str">
        <f>IF(A13="","",O13&amp;"|"&amp;COUNTIF($O$2:O13,O13))</f>
        <v>직원급여|1</v>
      </c>
    </row>
    <row r="14" spans="1:16" ht="13.5" customHeight="1">
      <c r="A14" s="119" t="s">
        <v>145</v>
      </c>
      <c r="B14" s="124">
        <v>3419250</v>
      </c>
      <c r="C14" s="124">
        <v>0</v>
      </c>
      <c r="D14" s="124">
        <v>0</v>
      </c>
      <c r="E14" s="124">
        <v>0</v>
      </c>
      <c r="F14" s="124">
        <v>2391780</v>
      </c>
      <c r="G14" s="124">
        <v>1027470</v>
      </c>
      <c r="H14" s="124">
        <v>0</v>
      </c>
      <c r="I14" s="125">
        <v>0</v>
      </c>
      <c r="J14" s="125"/>
      <c r="K14" s="125"/>
      <c r="L14" s="125"/>
      <c r="M14" s="125"/>
      <c r="N14" s="125"/>
      <c r="O14" t="str">
        <f t="shared" si="0"/>
        <v>퇴직급여</v>
      </c>
      <c r="P14" t="str">
        <f>IF(A14="","",O14&amp;"|"&amp;COUNTIF($O$2:O14,O14))</f>
        <v>퇴직급여|1</v>
      </c>
    </row>
    <row r="15" spans="1:16" ht="13.5" customHeight="1">
      <c r="A15" s="119" t="s">
        <v>146</v>
      </c>
      <c r="B15" s="124">
        <v>97328369</v>
      </c>
      <c r="C15" s="124">
        <v>13384368</v>
      </c>
      <c r="D15" s="124">
        <v>12458555</v>
      </c>
      <c r="E15" s="124">
        <v>11081209</v>
      </c>
      <c r="F15" s="124">
        <v>14204566</v>
      </c>
      <c r="G15" s="124">
        <v>21443516</v>
      </c>
      <c r="H15" s="124">
        <v>11894145</v>
      </c>
      <c r="I15" s="125">
        <v>12862010</v>
      </c>
      <c r="J15" s="125"/>
      <c r="K15" s="125"/>
      <c r="L15" s="125"/>
      <c r="M15" s="125"/>
      <c r="N15" s="125"/>
      <c r="O15" t="str">
        <f t="shared" si="0"/>
        <v>복리후생비</v>
      </c>
      <c r="P15" t="str">
        <f>IF(A15="","",O15&amp;"|"&amp;COUNTIF($O$2:O15,O15))</f>
        <v>복리후생비|1</v>
      </c>
    </row>
    <row r="16" spans="1:16" ht="13.5" customHeight="1">
      <c r="A16" s="119" t="s">
        <v>147</v>
      </c>
      <c r="B16" s="124">
        <v>4245185</v>
      </c>
      <c r="C16" s="124">
        <v>370200</v>
      </c>
      <c r="D16" s="124">
        <v>788000</v>
      </c>
      <c r="E16" s="124">
        <v>539100</v>
      </c>
      <c r="F16" s="124">
        <v>506700</v>
      </c>
      <c r="G16" s="124">
        <v>827400</v>
      </c>
      <c r="H16" s="124">
        <v>217600</v>
      </c>
      <c r="I16" s="125">
        <v>996185</v>
      </c>
      <c r="J16" s="125"/>
      <c r="K16" s="125"/>
      <c r="L16" s="125"/>
      <c r="M16" s="125"/>
      <c r="N16" s="125"/>
      <c r="O16" t="str">
        <f t="shared" si="0"/>
        <v>여비교통비</v>
      </c>
      <c r="P16" t="str">
        <f>IF(A16="","",O16&amp;"|"&amp;COUNTIF($O$2:O16,O16))</f>
        <v>여비교통비|1</v>
      </c>
    </row>
    <row r="17" spans="1:16" ht="13.5" customHeight="1">
      <c r="A17" s="119" t="s">
        <v>148</v>
      </c>
      <c r="B17" s="124">
        <v>39117430</v>
      </c>
      <c r="C17" s="124">
        <v>16172200</v>
      </c>
      <c r="D17" s="124">
        <v>1913680</v>
      </c>
      <c r="E17" s="124">
        <v>4930000</v>
      </c>
      <c r="F17" s="124">
        <v>3218150</v>
      </c>
      <c r="G17" s="124">
        <v>5064800</v>
      </c>
      <c r="H17" s="124">
        <v>3327100</v>
      </c>
      <c r="I17" s="125">
        <v>4491500</v>
      </c>
      <c r="J17" s="125"/>
      <c r="K17" s="125"/>
      <c r="L17" s="125"/>
      <c r="M17" s="125"/>
      <c r="N17" s="125"/>
      <c r="O17" t="str">
        <f t="shared" si="0"/>
        <v>접대비</v>
      </c>
      <c r="P17" t="str">
        <f>IF(A17="","",O17&amp;"|"&amp;COUNTIF($O$2:O17,O17))</f>
        <v>접대비|1</v>
      </c>
    </row>
    <row r="18" spans="1:16" ht="13.5" customHeight="1">
      <c r="A18" s="119" t="s">
        <v>149</v>
      </c>
      <c r="B18" s="124">
        <v>10964361</v>
      </c>
      <c r="C18" s="124">
        <v>1573665</v>
      </c>
      <c r="D18" s="124">
        <v>1544148</v>
      </c>
      <c r="E18" s="124">
        <v>1578167</v>
      </c>
      <c r="F18" s="124">
        <v>1579893</v>
      </c>
      <c r="G18" s="124">
        <v>1564424</v>
      </c>
      <c r="H18" s="124">
        <v>1547905</v>
      </c>
      <c r="I18" s="125">
        <v>1576159</v>
      </c>
      <c r="J18" s="125"/>
      <c r="K18" s="125"/>
      <c r="L18" s="125"/>
      <c r="M18" s="125"/>
      <c r="N18" s="125"/>
      <c r="O18" t="str">
        <f t="shared" si="0"/>
        <v>통신비</v>
      </c>
      <c r="P18" t="str">
        <f>IF(A18="","",O18&amp;"|"&amp;COUNTIF($O$2:O18,O18))</f>
        <v>통신비|1</v>
      </c>
    </row>
    <row r="19" spans="1:16" ht="13.5" customHeight="1">
      <c r="A19" s="119" t="s">
        <v>150</v>
      </c>
      <c r="B19" s="124">
        <v>537830</v>
      </c>
      <c r="C19" s="124">
        <v>224570</v>
      </c>
      <c r="D19" s="124">
        <v>139230</v>
      </c>
      <c r="E19" s="124">
        <v>36040</v>
      </c>
      <c r="F19" s="124">
        <v>26440</v>
      </c>
      <c r="G19" s="124">
        <v>41830</v>
      </c>
      <c r="H19" s="124">
        <v>30770</v>
      </c>
      <c r="I19" s="125">
        <v>38950</v>
      </c>
      <c r="J19" s="125"/>
      <c r="K19" s="125"/>
      <c r="L19" s="125"/>
      <c r="M19" s="125"/>
      <c r="N19" s="125"/>
      <c r="O19" t="str">
        <f t="shared" si="0"/>
        <v>수도광열비</v>
      </c>
      <c r="P19" t="str">
        <f>IF(A19="","",O19&amp;"|"&amp;COUNTIF($O$2:O19,O19))</f>
        <v>수도광열비|1</v>
      </c>
    </row>
    <row r="20" spans="1:16" ht="13.5" customHeight="1">
      <c r="A20" s="119" t="s">
        <v>151</v>
      </c>
      <c r="B20" s="124">
        <v>9546653</v>
      </c>
      <c r="C20" s="124">
        <v>1655930</v>
      </c>
      <c r="D20" s="124">
        <v>1864436</v>
      </c>
      <c r="E20" s="124">
        <v>1713705</v>
      </c>
      <c r="F20" s="124">
        <v>1197096</v>
      </c>
      <c r="G20" s="124">
        <v>985023</v>
      </c>
      <c r="H20" s="124">
        <v>927238</v>
      </c>
      <c r="I20" s="125">
        <v>1203225</v>
      </c>
      <c r="J20" s="125"/>
      <c r="K20" s="125"/>
      <c r="L20" s="125"/>
      <c r="M20" s="125"/>
      <c r="N20" s="125"/>
      <c r="O20" t="str">
        <f t="shared" si="0"/>
        <v>전력비</v>
      </c>
      <c r="P20" t="str">
        <f>IF(A20="","",O20&amp;"|"&amp;COUNTIF($O$2:O20,O20))</f>
        <v>전력비|1</v>
      </c>
    </row>
    <row r="21" spans="1:16" ht="13.5" customHeight="1">
      <c r="A21" s="119" t="s">
        <v>152</v>
      </c>
      <c r="B21" s="124">
        <v>58666660</v>
      </c>
      <c r="C21" s="124">
        <v>7166210</v>
      </c>
      <c r="D21" s="124">
        <v>9804760</v>
      </c>
      <c r="E21" s="124">
        <v>7169550</v>
      </c>
      <c r="F21" s="124">
        <v>7177450</v>
      </c>
      <c r="G21" s="124">
        <v>7267440</v>
      </c>
      <c r="H21" s="124">
        <v>10391150</v>
      </c>
      <c r="I21" s="125">
        <v>9690100</v>
      </c>
      <c r="J21" s="125"/>
      <c r="K21" s="125"/>
      <c r="L21" s="125"/>
      <c r="M21" s="125"/>
      <c r="N21" s="125"/>
      <c r="O21" t="str">
        <f t="shared" si="0"/>
        <v>세금과공과금</v>
      </c>
      <c r="P21" t="str">
        <f>IF(A21="","",O21&amp;"|"&amp;COUNTIF($O$2:O21,O21))</f>
        <v>세금과공과금|1</v>
      </c>
    </row>
    <row r="22" spans="1:16" ht="13.5" customHeight="1">
      <c r="A22" s="119" t="s">
        <v>153</v>
      </c>
      <c r="B22" s="124">
        <v>86462149</v>
      </c>
      <c r="C22" s="124">
        <v>12315392</v>
      </c>
      <c r="D22" s="124">
        <v>12351012</v>
      </c>
      <c r="E22" s="124">
        <v>12351010</v>
      </c>
      <c r="F22" s="124">
        <v>12351010</v>
      </c>
      <c r="G22" s="124">
        <v>12351010</v>
      </c>
      <c r="H22" s="124">
        <v>12351010</v>
      </c>
      <c r="I22" s="125">
        <v>12391705</v>
      </c>
      <c r="J22" s="125"/>
      <c r="K22" s="125"/>
      <c r="L22" s="125"/>
      <c r="M22" s="125"/>
      <c r="N22" s="125"/>
      <c r="O22" t="str">
        <f t="shared" si="0"/>
        <v>감가상각비</v>
      </c>
      <c r="P22" t="str">
        <f>IF(A22="","",O22&amp;"|"&amp;COUNTIF($O$2:O22,O22))</f>
        <v>감가상각비|1</v>
      </c>
    </row>
    <row r="23" spans="1:16" ht="13.5" customHeight="1">
      <c r="A23" s="119" t="s">
        <v>154</v>
      </c>
      <c r="B23" s="124">
        <v>94500000</v>
      </c>
      <c r="C23" s="124">
        <v>13500000</v>
      </c>
      <c r="D23" s="124">
        <v>13500000</v>
      </c>
      <c r="E23" s="124">
        <v>13500000</v>
      </c>
      <c r="F23" s="124">
        <v>13500000</v>
      </c>
      <c r="G23" s="124">
        <v>13500000</v>
      </c>
      <c r="H23" s="124">
        <v>13500000</v>
      </c>
      <c r="I23" s="125">
        <v>13500000</v>
      </c>
      <c r="J23" s="125"/>
      <c r="K23" s="125"/>
      <c r="L23" s="125"/>
      <c r="M23" s="125"/>
      <c r="N23" s="125"/>
      <c r="O23" t="str">
        <f t="shared" si="0"/>
        <v>지급임차료</v>
      </c>
      <c r="P23" t="str">
        <f>IF(A23="","",O23&amp;"|"&amp;COUNTIF($O$2:O23,O23))</f>
        <v>지급임차료|1</v>
      </c>
    </row>
    <row r="24" spans="1:16" ht="13.5" customHeight="1">
      <c r="A24" s="119" t="s">
        <v>155</v>
      </c>
      <c r="B24" s="124">
        <v>49358485</v>
      </c>
      <c r="C24" s="124">
        <v>17822605</v>
      </c>
      <c r="D24" s="124">
        <v>5896727</v>
      </c>
      <c r="E24" s="124">
        <v>9987150</v>
      </c>
      <c r="F24" s="124">
        <v>4591574</v>
      </c>
      <c r="G24" s="124">
        <v>3955890</v>
      </c>
      <c r="H24" s="124">
        <v>3891199</v>
      </c>
      <c r="I24" s="125">
        <v>3213340</v>
      </c>
      <c r="J24" s="125"/>
      <c r="K24" s="125"/>
      <c r="L24" s="125"/>
      <c r="M24" s="125"/>
      <c r="N24" s="125"/>
      <c r="O24" t="str">
        <f t="shared" si="0"/>
        <v>보험료</v>
      </c>
      <c r="P24" t="str">
        <f>IF(A24="","",O24&amp;"|"&amp;COUNTIF($O$2:O24,O24))</f>
        <v>보험료|1</v>
      </c>
    </row>
    <row r="25" spans="1:16" ht="13.5" customHeight="1">
      <c r="A25" s="119" t="s">
        <v>156</v>
      </c>
      <c r="B25" s="124">
        <v>136538142</v>
      </c>
      <c r="C25" s="124">
        <v>16936992</v>
      </c>
      <c r="D25" s="124">
        <v>22883144</v>
      </c>
      <c r="E25" s="124">
        <v>18056953</v>
      </c>
      <c r="F25" s="124">
        <v>20489068</v>
      </c>
      <c r="G25" s="124">
        <v>18675432</v>
      </c>
      <c r="H25" s="124">
        <v>18738705</v>
      </c>
      <c r="I25" s="125">
        <v>20757848</v>
      </c>
      <c r="J25" s="125"/>
      <c r="K25" s="125"/>
      <c r="L25" s="125"/>
      <c r="M25" s="125"/>
      <c r="N25" s="125"/>
      <c r="O25" t="str">
        <f t="shared" si="0"/>
        <v>차량유지비</v>
      </c>
      <c r="P25" t="str">
        <f>IF(A25="","",O25&amp;"|"&amp;COUNTIF($O$2:O25,O25))</f>
        <v>차량유지비|1</v>
      </c>
    </row>
    <row r="26" spans="1:16" ht="13.5" customHeight="1">
      <c r="A26" s="119" t="s">
        <v>157</v>
      </c>
      <c r="B26" s="124">
        <v>16218767</v>
      </c>
      <c r="C26" s="124">
        <v>3218046</v>
      </c>
      <c r="D26" s="124">
        <v>1674100</v>
      </c>
      <c r="E26" s="124">
        <v>2256119</v>
      </c>
      <c r="F26" s="124">
        <v>1300828</v>
      </c>
      <c r="G26" s="124">
        <v>1999546</v>
      </c>
      <c r="H26" s="124">
        <v>3771664</v>
      </c>
      <c r="I26" s="125">
        <v>1998464</v>
      </c>
      <c r="J26" s="125"/>
      <c r="K26" s="125"/>
      <c r="L26" s="125"/>
      <c r="M26" s="125"/>
      <c r="N26" s="125"/>
      <c r="O26" t="str">
        <f t="shared" si="0"/>
        <v>운반비</v>
      </c>
      <c r="P26" t="str">
        <f>IF(A26="","",O26&amp;"|"&amp;COUNTIF($O$2:O26,O26))</f>
        <v>운반비|1</v>
      </c>
    </row>
    <row r="27" spans="1:16" ht="13.5" customHeight="1">
      <c r="A27" s="119" t="s">
        <v>159</v>
      </c>
      <c r="B27" s="124">
        <v>10701551</v>
      </c>
      <c r="C27" s="124">
        <v>1736949</v>
      </c>
      <c r="D27" s="124">
        <v>1107237</v>
      </c>
      <c r="E27" s="124">
        <v>1257367</v>
      </c>
      <c r="F27" s="124">
        <v>1552520</v>
      </c>
      <c r="G27" s="124">
        <v>3575582</v>
      </c>
      <c r="H27" s="124">
        <v>501086</v>
      </c>
      <c r="I27" s="125">
        <v>970810</v>
      </c>
      <c r="J27" s="125"/>
      <c r="K27" s="125"/>
      <c r="L27" s="125"/>
      <c r="M27" s="125"/>
      <c r="N27" s="125"/>
      <c r="O27" t="str">
        <f t="shared" si="0"/>
        <v>소모품비</v>
      </c>
      <c r="P27" t="str">
        <f>IF(A27="","",O27&amp;"|"&amp;COUNTIF($O$2:O27,O27))</f>
        <v>소모품비|1</v>
      </c>
    </row>
    <row r="28" spans="1:16" ht="13.5" customHeight="1">
      <c r="A28" s="119" t="s">
        <v>160</v>
      </c>
      <c r="B28" s="124">
        <v>157513549</v>
      </c>
      <c r="C28" s="124">
        <v>20134912</v>
      </c>
      <c r="D28" s="124">
        <v>13780580</v>
      </c>
      <c r="E28" s="124">
        <v>33354398</v>
      </c>
      <c r="F28" s="124">
        <v>22212442</v>
      </c>
      <c r="G28" s="124">
        <v>19010498</v>
      </c>
      <c r="H28" s="124">
        <v>24194823</v>
      </c>
      <c r="I28" s="125">
        <v>24825896</v>
      </c>
      <c r="J28" s="125"/>
      <c r="K28" s="125"/>
      <c r="L28" s="125"/>
      <c r="M28" s="125"/>
      <c r="N28" s="125"/>
      <c r="O28" t="str">
        <f t="shared" si="0"/>
        <v>지급수수료</v>
      </c>
      <c r="P28" t="str">
        <f>IF(A28="","",O28&amp;"|"&amp;COUNTIF($O$2:O28,O28))</f>
        <v>지급수수료|1</v>
      </c>
    </row>
    <row r="29" spans="1:16" ht="13.5" customHeight="1">
      <c r="A29" s="119" t="s">
        <v>162</v>
      </c>
      <c r="B29" s="124">
        <v>2659122</v>
      </c>
      <c r="C29" s="124">
        <v>622432</v>
      </c>
      <c r="D29" s="124">
        <v>0</v>
      </c>
      <c r="E29" s="124">
        <v>1173227</v>
      </c>
      <c r="F29" s="124">
        <v>107803</v>
      </c>
      <c r="G29" s="124">
        <v>623505</v>
      </c>
      <c r="H29" s="124">
        <v>120155</v>
      </c>
      <c r="I29" s="125">
        <v>12000</v>
      </c>
      <c r="J29" s="125"/>
      <c r="K29" s="125"/>
      <c r="L29" s="125"/>
      <c r="M29" s="125"/>
      <c r="N29" s="125"/>
      <c r="O29" t="str">
        <f t="shared" si="0"/>
        <v>수출제비용</v>
      </c>
      <c r="P29" t="str">
        <f>IF(A29="","",O29&amp;"|"&amp;COUNTIF($O$2:O29,O29))</f>
        <v>수출제비용|1</v>
      </c>
    </row>
    <row r="30" spans="1:16" ht="13.5" customHeight="1">
      <c r="A30" s="121" t="s">
        <v>163</v>
      </c>
      <c r="B30" s="124">
        <v>1273972428</v>
      </c>
      <c r="C30" s="124">
        <v>40741916</v>
      </c>
      <c r="D30" s="124">
        <v>148649732</v>
      </c>
      <c r="E30" s="124">
        <v>222735445</v>
      </c>
      <c r="F30" s="124">
        <v>265599223</v>
      </c>
      <c r="G30" s="124">
        <v>224446491</v>
      </c>
      <c r="H30" s="124">
        <v>205048571</v>
      </c>
      <c r="I30" s="125">
        <v>166751050</v>
      </c>
      <c r="J30" s="125"/>
      <c r="K30" s="125"/>
      <c r="L30" s="125"/>
      <c r="M30" s="125"/>
      <c r="N30" s="125"/>
      <c r="O30" t="str">
        <f t="shared" si="0"/>
        <v>Ⅴ.영업이익</v>
      </c>
      <c r="P30" t="str">
        <f>IF(A30="","",O30&amp;"|"&amp;COUNTIF($O$2:O30,O30))</f>
        <v>Ⅴ.영업이익|1</v>
      </c>
    </row>
    <row r="31" spans="1:16" ht="13.5" customHeight="1">
      <c r="A31" s="121" t="s">
        <v>164</v>
      </c>
      <c r="B31" s="124">
        <v>110853921</v>
      </c>
      <c r="C31" s="124">
        <v>183178</v>
      </c>
      <c r="D31" s="124">
        <v>4067</v>
      </c>
      <c r="E31" s="124">
        <v>7711604</v>
      </c>
      <c r="F31" s="124">
        <v>48618404</v>
      </c>
      <c r="G31" s="124">
        <v>4960592</v>
      </c>
      <c r="H31" s="124">
        <v>8296276</v>
      </c>
      <c r="I31" s="125">
        <v>41079800</v>
      </c>
      <c r="J31" s="125"/>
      <c r="K31" s="125"/>
      <c r="L31" s="125"/>
      <c r="M31" s="125"/>
      <c r="N31" s="125"/>
      <c r="O31" t="str">
        <f t="shared" si="0"/>
        <v>Ⅵ.영업외수익</v>
      </c>
      <c r="P31" t="str">
        <f>IF(A31="","",O31&amp;"|"&amp;COUNTIF($O$2:O31,O31))</f>
        <v>Ⅵ.영업외수익|1</v>
      </c>
    </row>
    <row r="32" spans="1:16" ht="13.5" customHeight="1">
      <c r="A32" s="119" t="s">
        <v>165</v>
      </c>
      <c r="B32" s="124">
        <v>107412653</v>
      </c>
      <c r="C32" s="124">
        <v>3390</v>
      </c>
      <c r="D32" s="124">
        <v>3275</v>
      </c>
      <c r="E32" s="124">
        <v>7172802</v>
      </c>
      <c r="F32" s="124">
        <v>47446400</v>
      </c>
      <c r="G32" s="124">
        <v>3777023</v>
      </c>
      <c r="H32" s="124">
        <v>8019475</v>
      </c>
      <c r="I32" s="125">
        <v>40990288</v>
      </c>
      <c r="J32" s="125"/>
      <c r="K32" s="125"/>
      <c r="L32" s="125"/>
      <c r="M32" s="125"/>
      <c r="N32" s="125"/>
      <c r="O32" t="str">
        <f t="shared" si="0"/>
        <v>이자수익</v>
      </c>
      <c r="P32" t="str">
        <f>IF(A32="","",O32&amp;"|"&amp;COUNTIF($O$2:O32,O32))</f>
        <v>이자수익|1</v>
      </c>
    </row>
    <row r="33" spans="1:16" ht="13.5" customHeight="1">
      <c r="A33" s="119" t="s">
        <v>316</v>
      </c>
      <c r="B33" s="124">
        <v>726273</v>
      </c>
      <c r="C33" s="124">
        <v>0</v>
      </c>
      <c r="D33" s="124">
        <v>0</v>
      </c>
      <c r="E33" s="124">
        <v>0</v>
      </c>
      <c r="F33" s="124">
        <v>0</v>
      </c>
      <c r="G33" s="124">
        <v>726273</v>
      </c>
      <c r="H33" s="124">
        <v>0</v>
      </c>
      <c r="I33" s="125">
        <v>0</v>
      </c>
      <c r="J33" s="125"/>
      <c r="K33" s="125"/>
      <c r="L33" s="125"/>
      <c r="M33" s="125"/>
      <c r="N33" s="125"/>
      <c r="O33" t="str">
        <f t="shared" si="0"/>
        <v>유형자산처분이익</v>
      </c>
      <c r="P33" t="str">
        <f>IF(A33="","",O33&amp;"|"&amp;COUNTIF($O$2:O33,O33))</f>
        <v>유형자산처분이익|1</v>
      </c>
    </row>
    <row r="34" spans="1:16" ht="13.5" customHeight="1">
      <c r="A34" s="119" t="s">
        <v>171</v>
      </c>
      <c r="B34" s="124">
        <v>2714995</v>
      </c>
      <c r="C34" s="124">
        <v>179788</v>
      </c>
      <c r="D34" s="124">
        <v>792</v>
      </c>
      <c r="E34" s="124">
        <v>538802</v>
      </c>
      <c r="F34" s="124">
        <v>1172004</v>
      </c>
      <c r="G34" s="124">
        <v>457296</v>
      </c>
      <c r="H34" s="124">
        <v>276801</v>
      </c>
      <c r="I34" s="125">
        <v>89512</v>
      </c>
      <c r="J34" s="125"/>
      <c r="K34" s="125"/>
      <c r="L34" s="125"/>
      <c r="M34" s="125"/>
      <c r="N34" s="125"/>
      <c r="O34" t="str">
        <f t="shared" si="0"/>
        <v>잡이익</v>
      </c>
      <c r="P34" t="str">
        <f>IF(A34="","",O34&amp;"|"&amp;COUNTIF($O$2:O34,O34))</f>
        <v>잡이익|1</v>
      </c>
    </row>
    <row r="35" spans="1:16" ht="13.5" customHeight="1">
      <c r="A35" s="121" t="s">
        <v>172</v>
      </c>
      <c r="B35" s="124">
        <v>40033270</v>
      </c>
      <c r="C35" s="124">
        <v>2266</v>
      </c>
      <c r="D35" s="124">
        <v>70000</v>
      </c>
      <c r="E35" s="124">
        <v>115888</v>
      </c>
      <c r="F35" s="124">
        <v>32628834</v>
      </c>
      <c r="G35" s="124">
        <v>32000</v>
      </c>
      <c r="H35" s="124">
        <v>0</v>
      </c>
      <c r="I35" s="125">
        <v>7184282</v>
      </c>
      <c r="J35" s="125"/>
      <c r="K35" s="125"/>
      <c r="L35" s="125"/>
      <c r="M35" s="125"/>
      <c r="N35" s="125"/>
      <c r="O35" t="str">
        <f t="shared" si="0"/>
        <v>Ⅶ.영업외비용</v>
      </c>
      <c r="P35" t="str">
        <f>IF(A35="","",O35&amp;"|"&amp;COUNTIF($O$2:O35,O35))</f>
        <v>Ⅶ.영업외비용|1</v>
      </c>
    </row>
    <row r="36" spans="1:16" ht="13.5" customHeight="1">
      <c r="A36" s="119" t="s">
        <v>174</v>
      </c>
      <c r="B36" s="124">
        <v>1282550</v>
      </c>
      <c r="C36" s="124">
        <v>2266</v>
      </c>
      <c r="D36" s="124">
        <v>0</v>
      </c>
      <c r="E36" s="124">
        <v>3888</v>
      </c>
      <c r="F36" s="124">
        <v>1270854</v>
      </c>
      <c r="G36" s="124">
        <v>0</v>
      </c>
      <c r="H36" s="124">
        <v>0</v>
      </c>
      <c r="I36" s="125">
        <v>5542</v>
      </c>
      <c r="J36" s="125"/>
      <c r="K36" s="125"/>
      <c r="L36" s="125"/>
      <c r="M36" s="125"/>
      <c r="N36" s="125"/>
      <c r="O36" t="str">
        <f t="shared" si="0"/>
        <v>외환차손</v>
      </c>
      <c r="P36" t="str">
        <f>IF(A36="","",O36&amp;"|"&amp;COUNTIF($O$2:O36,O36))</f>
        <v>외환차손|1</v>
      </c>
    </row>
    <row r="37" spans="1:16" ht="13.5" customHeight="1">
      <c r="A37" s="119" t="s">
        <v>178</v>
      </c>
      <c r="B37" s="124">
        <v>214000</v>
      </c>
      <c r="C37" s="124">
        <v>0</v>
      </c>
      <c r="D37" s="124">
        <v>70000</v>
      </c>
      <c r="E37" s="124">
        <v>112000</v>
      </c>
      <c r="F37" s="124">
        <v>0</v>
      </c>
      <c r="G37" s="124">
        <v>32000</v>
      </c>
      <c r="H37" s="124">
        <v>0</v>
      </c>
      <c r="I37" s="125">
        <v>0</v>
      </c>
      <c r="J37" s="125"/>
      <c r="K37" s="125"/>
      <c r="L37" s="125"/>
      <c r="M37" s="125"/>
      <c r="N37" s="125"/>
      <c r="O37" t="str">
        <f t="shared" si="0"/>
        <v>잡손실</v>
      </c>
      <c r="P37" t="str">
        <f>IF(A37="","",O37&amp;"|"&amp;COUNTIF($O$2:O37,O37))</f>
        <v>잡손실|1</v>
      </c>
    </row>
    <row r="38" spans="1:16" ht="13.5" customHeight="1">
      <c r="A38" s="119" t="s">
        <v>179</v>
      </c>
      <c r="B38" s="124">
        <v>38536720</v>
      </c>
      <c r="C38" s="124">
        <v>0</v>
      </c>
      <c r="D38" s="124">
        <v>0</v>
      </c>
      <c r="E38" s="124">
        <v>0</v>
      </c>
      <c r="F38" s="124">
        <v>31357980</v>
      </c>
      <c r="G38" s="124">
        <v>0</v>
      </c>
      <c r="H38" s="124">
        <v>0</v>
      </c>
      <c r="I38" s="125">
        <v>7178740</v>
      </c>
      <c r="J38" s="125"/>
      <c r="K38" s="125"/>
      <c r="L38" s="125"/>
      <c r="M38" s="125"/>
      <c r="N38" s="125"/>
      <c r="O38" t="str">
        <f t="shared" si="0"/>
        <v>법인세추납액</v>
      </c>
      <c r="P38" t="str">
        <f>IF(A38="","",O38&amp;"|"&amp;COUNTIF($O$2:O38,O38))</f>
        <v>법인세추납액|1</v>
      </c>
    </row>
    <row r="39" spans="1:16" ht="13.5" customHeight="1">
      <c r="A39" s="121" t="s">
        <v>180</v>
      </c>
      <c r="B39" s="124">
        <v>1344793079</v>
      </c>
      <c r="C39" s="124">
        <v>40922828</v>
      </c>
      <c r="D39" s="124">
        <v>148583799</v>
      </c>
      <c r="E39" s="124">
        <v>230331161</v>
      </c>
      <c r="F39" s="124">
        <v>281588793</v>
      </c>
      <c r="G39" s="124">
        <v>229375083</v>
      </c>
      <c r="H39" s="124">
        <v>213344847</v>
      </c>
      <c r="I39" s="125">
        <v>200646568</v>
      </c>
      <c r="J39" s="125"/>
      <c r="K39" s="125"/>
      <c r="L39" s="125"/>
      <c r="M39" s="125"/>
      <c r="N39" s="125"/>
      <c r="O39" t="str">
        <f t="shared" si="0"/>
        <v>Ⅷ.법인세비용차감전순이익</v>
      </c>
      <c r="P39" t="str">
        <f>IF(A39="","",O39&amp;"|"&amp;COUNTIF($O$2:O39,O39))</f>
        <v>Ⅷ.법인세비용차감전순이익|1</v>
      </c>
    </row>
    <row r="40" spans="1:16" ht="13.5" customHeight="1">
      <c r="A40" s="121" t="s">
        <v>181</v>
      </c>
      <c r="B40" s="124">
        <v>0</v>
      </c>
      <c r="C40" s="124">
        <v>0</v>
      </c>
      <c r="D40" s="124">
        <v>0</v>
      </c>
      <c r="E40" s="124">
        <v>0</v>
      </c>
      <c r="F40" s="124">
        <v>0</v>
      </c>
      <c r="G40" s="124">
        <v>0</v>
      </c>
      <c r="H40" s="124">
        <v>0</v>
      </c>
      <c r="I40" s="125">
        <v>0</v>
      </c>
      <c r="J40" s="125"/>
      <c r="K40" s="125"/>
      <c r="L40" s="125"/>
      <c r="M40" s="125"/>
      <c r="N40" s="125"/>
      <c r="O40" t="str">
        <f t="shared" si="0"/>
        <v>Ⅸ.법인세비용</v>
      </c>
      <c r="P40" t="str">
        <f>IF(A40="","",O40&amp;"|"&amp;COUNTIF($O$2:O40,O40))</f>
        <v>Ⅸ.법인세비용|1</v>
      </c>
    </row>
    <row r="41" spans="1:16" ht="13.5" customHeight="1">
      <c r="A41" s="121" t="s">
        <v>183</v>
      </c>
      <c r="B41" s="124">
        <v>1344793079</v>
      </c>
      <c r="C41" s="124">
        <v>40922828</v>
      </c>
      <c r="D41" s="124">
        <v>148583799</v>
      </c>
      <c r="E41" s="124">
        <v>230331161</v>
      </c>
      <c r="F41" s="124">
        <v>281588793</v>
      </c>
      <c r="G41" s="124">
        <v>229375083</v>
      </c>
      <c r="H41" s="124">
        <v>213344847</v>
      </c>
      <c r="I41" s="125">
        <v>200646568</v>
      </c>
      <c r="J41" s="125"/>
      <c r="K41" s="125"/>
      <c r="L41" s="125"/>
      <c r="M41" s="125"/>
      <c r="N41" s="125"/>
      <c r="O41" t="str">
        <f t="shared" si="0"/>
        <v>Ⅹ.당기순이익</v>
      </c>
      <c r="P41" t="str">
        <f>IF(A41="","",O41&amp;"|"&amp;COUNTIF($O$2:O41,O41))</f>
        <v>Ⅹ.당기순이익|1</v>
      </c>
    </row>
    <row r="42" spans="1:16" ht="11.25" customHeight="1"/>
    <row r="43" spans="1:16" ht="11.25" customHeight="1"/>
    <row r="44" spans="1:16" ht="11.25" customHeight="1"/>
    <row r="45" spans="1:16" ht="11.25" customHeight="1"/>
    <row r="46" spans="1:16" ht="11.25" customHeight="1"/>
    <row r="47" spans="1:16" ht="11.25" customHeight="1"/>
    <row r="48" spans="1:16" ht="11.25" customHeight="1"/>
    <row r="49" ht="11.25" customHeight="1"/>
    <row r="50" ht="11.25" customHeight="1"/>
    <row r="51" ht="11.25" customHeight="1"/>
    <row r="52" ht="11.25" customHeight="1"/>
    <row r="53" ht="11.25" customHeight="1"/>
    <row r="54" ht="11.25" customHeight="1"/>
    <row r="55" ht="11.25" customHeight="1"/>
    <row r="56" ht="11.25" customHeight="1"/>
    <row r="57" ht="11.25" customHeight="1"/>
    <row r="58" ht="11.25" customHeight="1"/>
    <row r="59" ht="11.25" customHeight="1"/>
    <row r="60" ht="11.25" customHeight="1"/>
    <row r="61" ht="11.25" customHeight="1"/>
    <row r="62" ht="11.25" customHeight="1"/>
    <row r="63" ht="11.25" customHeight="1"/>
    <row r="64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</sheetData>
  <phoneticPr fontId="41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0"/>
  <sheetViews>
    <sheetView zoomScaleNormal="100" workbookViewId="0">
      <selection activeCell="C14" sqref="C14"/>
    </sheetView>
  </sheetViews>
  <sheetFormatPr defaultColWidth="15.33203125" defaultRowHeight="11.25"/>
  <cols>
    <col min="1" max="1" width="33.33203125" customWidth="1"/>
    <col min="2" max="5" width="23.33203125" customWidth="1"/>
    <col min="6" max="7" width="13" customWidth="1"/>
    <col min="257" max="257" width="33.33203125" customWidth="1"/>
    <col min="258" max="261" width="23.33203125" customWidth="1"/>
    <col min="513" max="513" width="33.33203125" customWidth="1"/>
    <col min="514" max="517" width="23.33203125" customWidth="1"/>
    <col min="769" max="769" width="33.33203125" customWidth="1"/>
    <col min="770" max="773" width="23.33203125" customWidth="1"/>
    <col min="1025" max="1025" width="33.33203125" customWidth="1"/>
    <col min="1026" max="1029" width="23.33203125" customWidth="1"/>
    <col min="1281" max="1281" width="33.33203125" customWidth="1"/>
    <col min="1282" max="1285" width="23.33203125" customWidth="1"/>
    <col min="1537" max="1537" width="33.33203125" customWidth="1"/>
    <col min="1538" max="1541" width="23.33203125" customWidth="1"/>
    <col min="1793" max="1793" width="33.33203125" customWidth="1"/>
    <col min="1794" max="1797" width="23.33203125" customWidth="1"/>
    <col min="2049" max="2049" width="33.33203125" customWidth="1"/>
    <col min="2050" max="2053" width="23.33203125" customWidth="1"/>
    <col min="2305" max="2305" width="33.33203125" customWidth="1"/>
    <col min="2306" max="2309" width="23.33203125" customWidth="1"/>
    <col min="2561" max="2561" width="33.33203125" customWidth="1"/>
    <col min="2562" max="2565" width="23.33203125" customWidth="1"/>
    <col min="2817" max="2817" width="33.33203125" customWidth="1"/>
    <col min="2818" max="2821" width="23.33203125" customWidth="1"/>
    <col min="3073" max="3073" width="33.33203125" customWidth="1"/>
    <col min="3074" max="3077" width="23.33203125" customWidth="1"/>
    <col min="3329" max="3329" width="33.33203125" customWidth="1"/>
    <col min="3330" max="3333" width="23.33203125" customWidth="1"/>
    <col min="3585" max="3585" width="33.33203125" customWidth="1"/>
    <col min="3586" max="3589" width="23.33203125" customWidth="1"/>
    <col min="3841" max="3841" width="33.33203125" customWidth="1"/>
    <col min="3842" max="3845" width="23.33203125" customWidth="1"/>
    <col min="4097" max="4097" width="33.33203125" customWidth="1"/>
    <col min="4098" max="4101" width="23.33203125" customWidth="1"/>
    <col min="4353" max="4353" width="33.33203125" customWidth="1"/>
    <col min="4354" max="4357" width="23.33203125" customWidth="1"/>
    <col min="4609" max="4609" width="33.33203125" customWidth="1"/>
    <col min="4610" max="4613" width="23.33203125" customWidth="1"/>
    <col min="4865" max="4865" width="33.33203125" customWidth="1"/>
    <col min="4866" max="4869" width="23.33203125" customWidth="1"/>
    <col min="5121" max="5121" width="33.33203125" customWidth="1"/>
    <col min="5122" max="5125" width="23.33203125" customWidth="1"/>
    <col min="5377" max="5377" width="33.33203125" customWidth="1"/>
    <col min="5378" max="5381" width="23.33203125" customWidth="1"/>
    <col min="5633" max="5633" width="33.33203125" customWidth="1"/>
    <col min="5634" max="5637" width="23.33203125" customWidth="1"/>
    <col min="5889" max="5889" width="33.33203125" customWidth="1"/>
    <col min="5890" max="5893" width="23.33203125" customWidth="1"/>
    <col min="6145" max="6145" width="33.33203125" customWidth="1"/>
    <col min="6146" max="6149" width="23.33203125" customWidth="1"/>
    <col min="6401" max="6401" width="33.33203125" customWidth="1"/>
    <col min="6402" max="6405" width="23.33203125" customWidth="1"/>
    <col min="6657" max="6657" width="33.33203125" customWidth="1"/>
    <col min="6658" max="6661" width="23.33203125" customWidth="1"/>
    <col min="6913" max="6913" width="33.33203125" customWidth="1"/>
    <col min="6914" max="6917" width="23.33203125" customWidth="1"/>
    <col min="7169" max="7169" width="33.33203125" customWidth="1"/>
    <col min="7170" max="7173" width="23.33203125" customWidth="1"/>
    <col min="7425" max="7425" width="33.33203125" customWidth="1"/>
    <col min="7426" max="7429" width="23.33203125" customWidth="1"/>
    <col min="7681" max="7681" width="33.33203125" customWidth="1"/>
    <col min="7682" max="7685" width="23.33203125" customWidth="1"/>
    <col min="7937" max="7937" width="33.33203125" customWidth="1"/>
    <col min="7938" max="7941" width="23.33203125" customWidth="1"/>
    <col min="8193" max="8193" width="33.33203125" customWidth="1"/>
    <col min="8194" max="8197" width="23.33203125" customWidth="1"/>
    <col min="8449" max="8449" width="33.33203125" customWidth="1"/>
    <col min="8450" max="8453" width="23.33203125" customWidth="1"/>
    <col min="8705" max="8705" width="33.33203125" customWidth="1"/>
    <col min="8706" max="8709" width="23.33203125" customWidth="1"/>
    <col min="8961" max="8961" width="33.33203125" customWidth="1"/>
    <col min="8962" max="8965" width="23.33203125" customWidth="1"/>
    <col min="9217" max="9217" width="33.33203125" customWidth="1"/>
    <col min="9218" max="9221" width="23.33203125" customWidth="1"/>
    <col min="9473" max="9473" width="33.33203125" customWidth="1"/>
    <col min="9474" max="9477" width="23.33203125" customWidth="1"/>
    <col min="9729" max="9729" width="33.33203125" customWidth="1"/>
    <col min="9730" max="9733" width="23.33203125" customWidth="1"/>
    <col min="9985" max="9985" width="33.33203125" customWidth="1"/>
    <col min="9986" max="9989" width="23.33203125" customWidth="1"/>
    <col min="10241" max="10241" width="33.33203125" customWidth="1"/>
    <col min="10242" max="10245" width="23.33203125" customWidth="1"/>
    <col min="10497" max="10497" width="33.33203125" customWidth="1"/>
    <col min="10498" max="10501" width="23.33203125" customWidth="1"/>
    <col min="10753" max="10753" width="33.33203125" customWidth="1"/>
    <col min="10754" max="10757" width="23.33203125" customWidth="1"/>
    <col min="11009" max="11009" width="33.33203125" customWidth="1"/>
    <col min="11010" max="11013" width="23.33203125" customWidth="1"/>
    <col min="11265" max="11265" width="33.33203125" customWidth="1"/>
    <col min="11266" max="11269" width="23.33203125" customWidth="1"/>
    <col min="11521" max="11521" width="33.33203125" customWidth="1"/>
    <col min="11522" max="11525" width="23.33203125" customWidth="1"/>
    <col min="11777" max="11777" width="33.33203125" customWidth="1"/>
    <col min="11778" max="11781" width="23.33203125" customWidth="1"/>
    <col min="12033" max="12033" width="33.33203125" customWidth="1"/>
    <col min="12034" max="12037" width="23.33203125" customWidth="1"/>
    <col min="12289" max="12289" width="33.33203125" customWidth="1"/>
    <col min="12290" max="12293" width="23.33203125" customWidth="1"/>
    <col min="12545" max="12545" width="33.33203125" customWidth="1"/>
    <col min="12546" max="12549" width="23.33203125" customWidth="1"/>
    <col min="12801" max="12801" width="33.33203125" customWidth="1"/>
    <col min="12802" max="12805" width="23.33203125" customWidth="1"/>
    <col min="13057" max="13057" width="33.33203125" customWidth="1"/>
    <col min="13058" max="13061" width="23.33203125" customWidth="1"/>
    <col min="13313" max="13313" width="33.33203125" customWidth="1"/>
    <col min="13314" max="13317" width="23.33203125" customWidth="1"/>
    <col min="13569" max="13569" width="33.33203125" customWidth="1"/>
    <col min="13570" max="13573" width="23.33203125" customWidth="1"/>
    <col min="13825" max="13825" width="33.33203125" customWidth="1"/>
    <col min="13826" max="13829" width="23.33203125" customWidth="1"/>
    <col min="14081" max="14081" width="33.33203125" customWidth="1"/>
    <col min="14082" max="14085" width="23.33203125" customWidth="1"/>
    <col min="14337" max="14337" width="33.33203125" customWidth="1"/>
    <col min="14338" max="14341" width="23.33203125" customWidth="1"/>
    <col min="14593" max="14593" width="33.33203125" customWidth="1"/>
    <col min="14594" max="14597" width="23.33203125" customWidth="1"/>
    <col min="14849" max="14849" width="33.33203125" customWidth="1"/>
    <col min="14850" max="14853" width="23.33203125" customWidth="1"/>
    <col min="15105" max="15105" width="33.33203125" customWidth="1"/>
    <col min="15106" max="15109" width="23.33203125" customWidth="1"/>
    <col min="15361" max="15361" width="33.33203125" customWidth="1"/>
    <col min="15362" max="15365" width="23.33203125" customWidth="1"/>
    <col min="15617" max="15617" width="33.33203125" customWidth="1"/>
    <col min="15618" max="15621" width="23.33203125" customWidth="1"/>
    <col min="15873" max="15873" width="33.33203125" customWidth="1"/>
    <col min="15874" max="15877" width="23.33203125" customWidth="1"/>
    <col min="16129" max="16129" width="33.33203125" customWidth="1"/>
    <col min="16130" max="16133" width="23.33203125" customWidth="1"/>
  </cols>
  <sheetData>
    <row r="1" spans="1:7" ht="18.75" customHeight="1">
      <c r="A1" s="159" t="s">
        <v>43</v>
      </c>
      <c r="B1" s="159" t="s">
        <v>44</v>
      </c>
      <c r="C1" s="160"/>
      <c r="D1" s="159" t="s">
        <v>46</v>
      </c>
      <c r="E1" s="160"/>
    </row>
    <row r="2" spans="1:7" ht="18.75" customHeight="1">
      <c r="A2" s="162"/>
      <c r="B2" s="159" t="s">
        <v>49</v>
      </c>
      <c r="C2" s="160"/>
      <c r="D2" s="159" t="s">
        <v>50</v>
      </c>
      <c r="E2" s="160"/>
    </row>
    <row r="3" spans="1:7" ht="13.5" customHeight="1">
      <c r="A3" s="121" t="s">
        <v>130</v>
      </c>
      <c r="B3" s="124">
        <v>0</v>
      </c>
      <c r="C3" s="124">
        <v>21519965336</v>
      </c>
      <c r="D3" s="124">
        <v>0</v>
      </c>
      <c r="E3" s="124">
        <v>35759715334</v>
      </c>
      <c r="F3" t="str">
        <f t="shared" ref="F3:F48" si="0">IF(A3="","",SUBSTITUTE(A3," ",""))</f>
        <v>Ⅰ.매출액</v>
      </c>
      <c r="G3" t="str">
        <f>IF(A3="","",F3&amp;"|"&amp;COUNTIF($F$3:F3,F3))</f>
        <v>Ⅰ.매출액|1</v>
      </c>
    </row>
    <row r="4" spans="1:7" ht="13.5" customHeight="1">
      <c r="A4" s="119" t="s">
        <v>131</v>
      </c>
      <c r="B4" s="124">
        <v>21466362478</v>
      </c>
      <c r="C4" s="124">
        <v>0</v>
      </c>
      <c r="D4" s="124">
        <v>35616332337</v>
      </c>
      <c r="E4" s="124">
        <v>0</v>
      </c>
      <c r="F4" t="str">
        <f t="shared" si="0"/>
        <v>상품매출</v>
      </c>
      <c r="G4" t="str">
        <f>IF(A4="","",F4&amp;"|"&amp;COUNTIF($F$3:F4,F4))</f>
        <v>상품매출|1</v>
      </c>
    </row>
    <row r="5" spans="1:7" ht="13.5" customHeight="1">
      <c r="A5" s="119" t="s">
        <v>132</v>
      </c>
      <c r="B5" s="124">
        <v>53602858</v>
      </c>
      <c r="C5" s="124">
        <v>0</v>
      </c>
      <c r="D5" s="124">
        <v>143382997</v>
      </c>
      <c r="E5" s="124">
        <v>0</v>
      </c>
      <c r="F5" t="str">
        <f t="shared" si="0"/>
        <v>상품수출매출</v>
      </c>
      <c r="G5" t="str">
        <f>IF(A5="","",F5&amp;"|"&amp;COUNTIF($F$3:F5,F5))</f>
        <v>상품수출매출|1</v>
      </c>
    </row>
    <row r="6" spans="1:7" ht="13.5" customHeight="1">
      <c r="A6" s="121" t="s">
        <v>133</v>
      </c>
      <c r="B6" s="124">
        <v>0</v>
      </c>
      <c r="C6" s="124">
        <v>17650813148</v>
      </c>
      <c r="D6" s="124">
        <v>0</v>
      </c>
      <c r="E6" s="124">
        <v>29846027632</v>
      </c>
      <c r="F6" t="str">
        <f t="shared" si="0"/>
        <v>Ⅱ.매출원가</v>
      </c>
      <c r="G6" t="str">
        <f>IF(A6="","",F6&amp;"|"&amp;COUNTIF($F$3:F6,F6))</f>
        <v>Ⅱ.매출원가|1</v>
      </c>
    </row>
    <row r="7" spans="1:7" ht="13.5" customHeight="1">
      <c r="A7" s="119" t="s">
        <v>134</v>
      </c>
      <c r="B7" s="124">
        <v>0</v>
      </c>
      <c r="C7" s="124">
        <v>17650813148</v>
      </c>
      <c r="D7" s="124">
        <v>0</v>
      </c>
      <c r="E7" s="124">
        <v>29846027632</v>
      </c>
      <c r="F7" t="str">
        <f t="shared" si="0"/>
        <v>상품매출원가</v>
      </c>
      <c r="G7" t="str">
        <f>IF(A7="","",F7&amp;"|"&amp;COUNTIF($F$3:F7,F7))</f>
        <v>상품매출원가|1</v>
      </c>
    </row>
    <row r="8" spans="1:7" ht="13.5" customHeight="1">
      <c r="A8" s="119" t="s">
        <v>135</v>
      </c>
      <c r="B8" s="124">
        <v>2126111102</v>
      </c>
      <c r="C8" s="124">
        <v>0</v>
      </c>
      <c r="D8" s="124">
        <v>2098835763</v>
      </c>
      <c r="E8" s="124">
        <v>0</v>
      </c>
      <c r="F8" t="str">
        <f t="shared" si="0"/>
        <v>기초상품재고액</v>
      </c>
      <c r="G8" t="str">
        <f>IF(A8="","",F8&amp;"|"&amp;COUNTIF($F$3:F8,F8))</f>
        <v>기초상품재고액|1</v>
      </c>
    </row>
    <row r="9" spans="1:7" ht="13.5" customHeight="1">
      <c r="A9" s="119" t="s">
        <v>136</v>
      </c>
      <c r="B9" s="124">
        <v>18479894308</v>
      </c>
      <c r="C9" s="124">
        <v>0</v>
      </c>
      <c r="D9" s="124">
        <v>30036303143</v>
      </c>
      <c r="E9" s="124">
        <v>0</v>
      </c>
      <c r="F9" t="str">
        <f t="shared" si="0"/>
        <v>당기상품매입액</v>
      </c>
      <c r="G9" t="str">
        <f>IF(A9="","",F9&amp;"|"&amp;COUNTIF($F$3:F9,F9))</f>
        <v>당기상품매입액|1</v>
      </c>
    </row>
    <row r="10" spans="1:7" ht="13.5" customHeight="1">
      <c r="A10" s="119" t="s">
        <v>137</v>
      </c>
      <c r="B10" s="124">
        <v>91576826</v>
      </c>
      <c r="C10" s="124">
        <v>0</v>
      </c>
      <c r="D10" s="124">
        <v>163000172</v>
      </c>
      <c r="E10" s="124">
        <v>0</v>
      </c>
      <c r="F10" t="str">
        <f t="shared" si="0"/>
        <v>매입할인</v>
      </c>
      <c r="G10" t="str">
        <f>IF(A10="","",F10&amp;"|"&amp;COUNTIF($F$3:F10,F10))</f>
        <v>매입할인|1</v>
      </c>
    </row>
    <row r="11" spans="1:7" ht="13.5" customHeight="1">
      <c r="A11" s="119" t="s">
        <v>138</v>
      </c>
      <c r="B11" s="124">
        <v>2863615436</v>
      </c>
      <c r="C11" s="124">
        <v>0</v>
      </c>
      <c r="D11" s="124">
        <v>2126111102</v>
      </c>
      <c r="E11" s="124">
        <v>0</v>
      </c>
      <c r="F11" t="str">
        <f t="shared" si="0"/>
        <v>기말상품재고액</v>
      </c>
      <c r="G11" t="str">
        <f>IF(A11="","",F11&amp;"|"&amp;COUNTIF($F$3:F11,F11))</f>
        <v>기말상품재고액|1</v>
      </c>
    </row>
    <row r="12" spans="1:7" ht="13.5" customHeight="1">
      <c r="A12" s="121" t="s">
        <v>139</v>
      </c>
      <c r="B12" s="124">
        <v>0</v>
      </c>
      <c r="C12" s="124">
        <v>3869152188</v>
      </c>
      <c r="D12" s="124">
        <v>0</v>
      </c>
      <c r="E12" s="124">
        <v>5913687702</v>
      </c>
      <c r="F12" t="str">
        <f t="shared" si="0"/>
        <v>Ⅲ.매출총이익</v>
      </c>
      <c r="G12" t="str">
        <f>IF(A12="","",F12&amp;"|"&amp;COUNTIF($F$3:F12,F12))</f>
        <v>Ⅲ.매출총이익|1</v>
      </c>
    </row>
    <row r="13" spans="1:7" ht="13.5" customHeight="1">
      <c r="A13" s="121" t="s">
        <v>140</v>
      </c>
      <c r="B13" s="124">
        <v>0</v>
      </c>
      <c r="C13" s="124">
        <v>2161095954</v>
      </c>
      <c r="D13" s="124">
        <v>0</v>
      </c>
      <c r="E13" s="124">
        <v>4291191892</v>
      </c>
      <c r="F13" t="str">
        <f t="shared" si="0"/>
        <v>Ⅳ.판매관리비</v>
      </c>
      <c r="G13" t="str">
        <f>IF(A13="","",F13&amp;"|"&amp;COUNTIF($F$3:F13,F13))</f>
        <v>Ⅳ.판매관리비|1</v>
      </c>
    </row>
    <row r="14" spans="1:7" ht="13.5" customHeight="1">
      <c r="A14" s="119" t="s">
        <v>142</v>
      </c>
      <c r="B14" s="124">
        <v>1229848831</v>
      </c>
      <c r="C14" s="124">
        <v>0</v>
      </c>
      <c r="D14" s="124">
        <v>2060318569</v>
      </c>
      <c r="E14" s="124">
        <v>0</v>
      </c>
      <c r="F14" t="str">
        <f t="shared" si="0"/>
        <v>직원급여</v>
      </c>
      <c r="G14" t="str">
        <f>IF(A14="","",F14&amp;"|"&amp;COUNTIF($F$3:F14,F14))</f>
        <v>직원급여|1</v>
      </c>
    </row>
    <row r="15" spans="1:7" ht="13.5" customHeight="1">
      <c r="A15" s="119" t="s">
        <v>143</v>
      </c>
      <c r="B15" s="124">
        <v>0</v>
      </c>
      <c r="C15" s="124">
        <v>0</v>
      </c>
      <c r="D15" s="124">
        <v>551800000</v>
      </c>
      <c r="E15" s="124">
        <v>0</v>
      </c>
      <c r="F15" t="str">
        <f t="shared" si="0"/>
        <v>상여금</v>
      </c>
      <c r="G15" t="str">
        <f>IF(A15="","",F15&amp;"|"&amp;COUNTIF($F$3:F15,F15))</f>
        <v>상여금|1</v>
      </c>
    </row>
    <row r="16" spans="1:7" ht="13.5" customHeight="1">
      <c r="A16" s="119" t="s">
        <v>144</v>
      </c>
      <c r="B16" s="124">
        <v>0</v>
      </c>
      <c r="C16" s="124">
        <v>0</v>
      </c>
      <c r="D16" s="124">
        <v>12096500</v>
      </c>
      <c r="E16" s="124">
        <v>0</v>
      </c>
      <c r="F16" t="str">
        <f t="shared" si="0"/>
        <v>연차수당</v>
      </c>
      <c r="G16" t="str">
        <f>IF(A16="","",F16&amp;"|"&amp;COUNTIF($F$3:F16,F16))</f>
        <v>연차수당|1</v>
      </c>
    </row>
    <row r="17" spans="1:7" ht="13.5" customHeight="1">
      <c r="A17" s="119" t="s">
        <v>145</v>
      </c>
      <c r="B17" s="124">
        <v>88091340</v>
      </c>
      <c r="C17" s="124">
        <v>0</v>
      </c>
      <c r="D17" s="124">
        <v>305951630</v>
      </c>
      <c r="E17" s="124">
        <v>0</v>
      </c>
      <c r="F17" t="str">
        <f t="shared" si="0"/>
        <v>퇴직급여</v>
      </c>
      <c r="G17" t="str">
        <f>IF(A17="","",F17&amp;"|"&amp;COUNTIF($F$3:F17,F17))</f>
        <v>퇴직급여|1</v>
      </c>
    </row>
    <row r="18" spans="1:7" ht="13.5" customHeight="1">
      <c r="A18" s="119" t="s">
        <v>146</v>
      </c>
      <c r="B18" s="124">
        <v>110546776</v>
      </c>
      <c r="C18" s="124">
        <v>0</v>
      </c>
      <c r="D18" s="124">
        <v>173366229</v>
      </c>
      <c r="E18" s="124">
        <v>0</v>
      </c>
      <c r="F18" t="str">
        <f t="shared" si="0"/>
        <v>복리후생비</v>
      </c>
      <c r="G18" t="str">
        <f>IF(A18="","",F18&amp;"|"&amp;COUNTIF($F$3:F18,F18))</f>
        <v>복리후생비|1</v>
      </c>
    </row>
    <row r="19" spans="1:7" ht="13.5" customHeight="1">
      <c r="A19" s="119" t="s">
        <v>147</v>
      </c>
      <c r="B19" s="124">
        <v>7859988</v>
      </c>
      <c r="C19" s="124">
        <v>0</v>
      </c>
      <c r="D19" s="124">
        <v>8300248</v>
      </c>
      <c r="E19" s="124">
        <v>0</v>
      </c>
      <c r="F19" t="str">
        <f t="shared" si="0"/>
        <v>여비교통비</v>
      </c>
      <c r="G19" t="str">
        <f>IF(A19="","",F19&amp;"|"&amp;COUNTIF($F$3:F19,F19))</f>
        <v>여비교통비|1</v>
      </c>
    </row>
    <row r="20" spans="1:7" ht="13.5" customHeight="1">
      <c r="A20" s="119" t="s">
        <v>148</v>
      </c>
      <c r="B20" s="124">
        <v>43323349</v>
      </c>
      <c r="C20" s="124">
        <v>0</v>
      </c>
      <c r="D20" s="124">
        <v>74924080</v>
      </c>
      <c r="E20" s="124">
        <v>0</v>
      </c>
      <c r="F20" t="str">
        <f t="shared" si="0"/>
        <v>접대비</v>
      </c>
      <c r="G20" t="str">
        <f>IF(A20="","",F20&amp;"|"&amp;COUNTIF($F$3:F20,F20))</f>
        <v>접대비|1</v>
      </c>
    </row>
    <row r="21" spans="1:7" ht="13.5" customHeight="1">
      <c r="A21" s="119" t="s">
        <v>149</v>
      </c>
      <c r="B21" s="124">
        <v>10884279</v>
      </c>
      <c r="C21" s="124">
        <v>0</v>
      </c>
      <c r="D21" s="124">
        <v>18692616</v>
      </c>
      <c r="E21" s="124">
        <v>0</v>
      </c>
      <c r="F21" t="str">
        <f t="shared" si="0"/>
        <v>통신비</v>
      </c>
      <c r="G21" t="str">
        <f>IF(A21="","",F21&amp;"|"&amp;COUNTIF($F$3:F21,F21))</f>
        <v>통신비|1</v>
      </c>
    </row>
    <row r="22" spans="1:7" ht="13.5" customHeight="1">
      <c r="A22" s="119" t="s">
        <v>150</v>
      </c>
      <c r="B22" s="124">
        <v>658900</v>
      </c>
      <c r="C22" s="124">
        <v>0</v>
      </c>
      <c r="D22" s="124">
        <v>1127751</v>
      </c>
      <c r="E22" s="124">
        <v>0</v>
      </c>
      <c r="F22" t="str">
        <f t="shared" si="0"/>
        <v>수도광열비</v>
      </c>
      <c r="G22" t="str">
        <f>IF(A22="","",F22&amp;"|"&amp;COUNTIF($F$3:F22,F22))</f>
        <v>수도광열비|1</v>
      </c>
    </row>
    <row r="23" spans="1:7" ht="13.5" customHeight="1">
      <c r="A23" s="119" t="s">
        <v>151</v>
      </c>
      <c r="B23" s="124">
        <v>9937528</v>
      </c>
      <c r="C23" s="124">
        <v>0</v>
      </c>
      <c r="D23" s="124">
        <v>15489170</v>
      </c>
      <c r="E23" s="124">
        <v>0</v>
      </c>
      <c r="F23" t="str">
        <f t="shared" si="0"/>
        <v>전력비</v>
      </c>
      <c r="G23" t="str">
        <f>IF(A23="","",F23&amp;"|"&amp;COUNTIF($F$3:F23,F23))</f>
        <v>전력비|1</v>
      </c>
    </row>
    <row r="24" spans="1:7" ht="13.5" customHeight="1">
      <c r="A24" s="119" t="s">
        <v>152</v>
      </c>
      <c r="B24" s="124">
        <v>61818760</v>
      </c>
      <c r="C24" s="124">
        <v>0</v>
      </c>
      <c r="D24" s="124">
        <v>41002240</v>
      </c>
      <c r="E24" s="124">
        <v>0</v>
      </c>
      <c r="F24" t="str">
        <f t="shared" si="0"/>
        <v>세금과공과금</v>
      </c>
      <c r="G24" t="str">
        <f>IF(A24="","",F24&amp;"|"&amp;COUNTIF($F$3:F24,F24))</f>
        <v>세금과공과금|1</v>
      </c>
    </row>
    <row r="25" spans="1:7" ht="13.5" customHeight="1">
      <c r="A25" s="119" t="s">
        <v>153</v>
      </c>
      <c r="B25" s="124">
        <v>71625807</v>
      </c>
      <c r="C25" s="124">
        <v>0</v>
      </c>
      <c r="D25" s="124">
        <v>151430376</v>
      </c>
      <c r="E25" s="124">
        <v>0</v>
      </c>
      <c r="F25" t="str">
        <f t="shared" si="0"/>
        <v>감가상각비</v>
      </c>
      <c r="G25" t="str">
        <f>IF(A25="","",F25&amp;"|"&amp;COUNTIF($F$3:F25,F25))</f>
        <v>감가상각비|1</v>
      </c>
    </row>
    <row r="26" spans="1:7" ht="13.5" customHeight="1">
      <c r="A26" s="119" t="s">
        <v>154</v>
      </c>
      <c r="B26" s="124">
        <v>94500000</v>
      </c>
      <c r="C26" s="124">
        <v>0</v>
      </c>
      <c r="D26" s="124">
        <v>162000000</v>
      </c>
      <c r="E26" s="124">
        <v>0</v>
      </c>
      <c r="F26" t="str">
        <f t="shared" si="0"/>
        <v>지급임차료</v>
      </c>
      <c r="G26" t="str">
        <f>IF(A26="","",F26&amp;"|"&amp;COUNTIF($F$3:F26,F26))</f>
        <v>지급임차료|1</v>
      </c>
    </row>
    <row r="27" spans="1:7" ht="13.5" customHeight="1">
      <c r="A27" s="119" t="s">
        <v>155</v>
      </c>
      <c r="B27" s="124">
        <v>48751589</v>
      </c>
      <c r="C27" s="124">
        <v>0</v>
      </c>
      <c r="D27" s="124">
        <v>68016202</v>
      </c>
      <c r="E27" s="124">
        <v>0</v>
      </c>
      <c r="F27" t="str">
        <f t="shared" si="0"/>
        <v>보험료</v>
      </c>
      <c r="G27" t="str">
        <f>IF(A27="","",F27&amp;"|"&amp;COUNTIF($F$3:F27,F27))</f>
        <v>보험료|1</v>
      </c>
    </row>
    <row r="28" spans="1:7" ht="13.5" customHeight="1">
      <c r="A28" s="119" t="s">
        <v>156</v>
      </c>
      <c r="B28" s="124">
        <v>155024259</v>
      </c>
      <c r="C28" s="124">
        <v>0</v>
      </c>
      <c r="D28" s="124">
        <v>234909756</v>
      </c>
      <c r="E28" s="124">
        <v>0</v>
      </c>
      <c r="F28" t="str">
        <f t="shared" si="0"/>
        <v>차량유지비</v>
      </c>
      <c r="G28" t="str">
        <f>IF(A28="","",F28&amp;"|"&amp;COUNTIF($F$3:F28,F28))</f>
        <v>차량유지비|1</v>
      </c>
    </row>
    <row r="29" spans="1:7" ht="13.5" customHeight="1">
      <c r="A29" s="119" t="s">
        <v>157</v>
      </c>
      <c r="B29" s="124">
        <v>11781419</v>
      </c>
      <c r="C29" s="124">
        <v>0</v>
      </c>
      <c r="D29" s="124">
        <v>26830863</v>
      </c>
      <c r="E29" s="124">
        <v>0</v>
      </c>
      <c r="F29" t="str">
        <f t="shared" si="0"/>
        <v>운반비</v>
      </c>
      <c r="G29" t="str">
        <f>IF(A29="","",F29&amp;"|"&amp;COUNTIF($F$3:F29,F29))</f>
        <v>운반비|1</v>
      </c>
    </row>
    <row r="30" spans="1:7" ht="11.25" customHeight="1">
      <c r="A30" s="119" t="s">
        <v>159</v>
      </c>
      <c r="B30" s="124">
        <v>18876205</v>
      </c>
      <c r="C30" s="124">
        <v>0</v>
      </c>
      <c r="D30" s="124">
        <v>16554758</v>
      </c>
      <c r="E30" s="124">
        <v>0</v>
      </c>
      <c r="F30" t="str">
        <f t="shared" si="0"/>
        <v>소모품비</v>
      </c>
      <c r="G30" t="str">
        <f>IF(A30="","",F30&amp;"|"&amp;COUNTIF($F$3:F30,F30))</f>
        <v>소모품비|1</v>
      </c>
    </row>
    <row r="31" spans="1:7" ht="13.5" customHeight="1">
      <c r="A31" s="119" t="s">
        <v>160</v>
      </c>
      <c r="B31" s="124">
        <v>196598820</v>
      </c>
      <c r="C31" s="124">
        <v>0</v>
      </c>
      <c r="D31" s="124">
        <v>292448219</v>
      </c>
      <c r="E31" s="124">
        <v>0</v>
      </c>
      <c r="F31" t="str">
        <f t="shared" si="0"/>
        <v>지급수수료</v>
      </c>
      <c r="G31" t="str">
        <f>IF(A31="","",F31&amp;"|"&amp;COUNTIF($F$3:F31,F31))</f>
        <v>지급수수료|1</v>
      </c>
    </row>
    <row r="32" spans="1:7" ht="13.5" customHeight="1">
      <c r="A32" s="119" t="s">
        <v>161</v>
      </c>
      <c r="B32" s="124">
        <v>0</v>
      </c>
      <c r="C32" s="124">
        <v>0</v>
      </c>
      <c r="D32" s="124">
        <v>72371897</v>
      </c>
      <c r="E32" s="124">
        <v>0</v>
      </c>
      <c r="F32" t="str">
        <f t="shared" si="0"/>
        <v>대손상각비</v>
      </c>
      <c r="G32" t="str">
        <f>IF(A32="","",F32&amp;"|"&amp;COUNTIF($F$3:F32,F32))</f>
        <v>대손상각비|1</v>
      </c>
    </row>
    <row r="33" spans="1:7" ht="13.5" customHeight="1">
      <c r="A33" s="119" t="s">
        <v>162</v>
      </c>
      <c r="B33" s="124">
        <v>968104</v>
      </c>
      <c r="C33" s="124">
        <v>0</v>
      </c>
      <c r="D33" s="124">
        <v>3560788</v>
      </c>
      <c r="E33" s="124">
        <v>0</v>
      </c>
      <c r="F33" t="str">
        <f t="shared" si="0"/>
        <v>수출제비용</v>
      </c>
      <c r="G33" t="str">
        <f>IF(A33="","",F33&amp;"|"&amp;COUNTIF($F$3:F33,F33))</f>
        <v>수출제비용|1</v>
      </c>
    </row>
    <row r="34" spans="1:7" ht="13.5" customHeight="1">
      <c r="A34" s="119" t="s">
        <v>163</v>
      </c>
      <c r="B34" s="124">
        <v>0</v>
      </c>
      <c r="C34" s="124">
        <v>1708056234</v>
      </c>
      <c r="D34" s="124">
        <v>0</v>
      </c>
      <c r="E34" s="124">
        <v>1622495810</v>
      </c>
      <c r="F34" t="str">
        <f t="shared" si="0"/>
        <v>Ⅴ.영업이익</v>
      </c>
      <c r="G34" t="str">
        <f>IF(A34="","",F34&amp;"|"&amp;COUNTIF($F$3:F34,F34))</f>
        <v>Ⅴ.영업이익|1</v>
      </c>
    </row>
    <row r="35" spans="1:7" ht="13.5" customHeight="1">
      <c r="A35" s="121" t="s">
        <v>164</v>
      </c>
      <c r="B35" s="124">
        <v>0</v>
      </c>
      <c r="C35" s="124">
        <v>145089917</v>
      </c>
      <c r="D35" s="124">
        <v>0</v>
      </c>
      <c r="E35" s="124">
        <v>213061525</v>
      </c>
      <c r="F35" t="str">
        <f t="shared" si="0"/>
        <v>Ⅵ.영업외수익</v>
      </c>
      <c r="G35" t="str">
        <f>IF(A35="","",F35&amp;"|"&amp;COUNTIF($F$3:F35,F35))</f>
        <v>Ⅵ.영업외수익|1</v>
      </c>
    </row>
    <row r="36" spans="1:7" ht="13.5" customHeight="1">
      <c r="A36" s="122" t="s">
        <v>165</v>
      </c>
      <c r="B36" s="124">
        <v>113934601</v>
      </c>
      <c r="C36" s="124">
        <v>0</v>
      </c>
      <c r="D36" s="124">
        <v>191956603</v>
      </c>
      <c r="E36" s="124">
        <v>0</v>
      </c>
      <c r="F36" t="str">
        <f t="shared" si="0"/>
        <v>이자수익</v>
      </c>
      <c r="G36" t="str">
        <f>IF(A36="","",F36&amp;"|"&amp;COUNTIF($F$3:F36,F36))</f>
        <v>이자수익|1</v>
      </c>
    </row>
    <row r="37" spans="1:7" ht="13.5" customHeight="1">
      <c r="A37" s="119" t="s">
        <v>166</v>
      </c>
      <c r="B37" s="124">
        <v>9493467</v>
      </c>
      <c r="C37" s="124">
        <v>0</v>
      </c>
      <c r="D37" s="124">
        <v>94348</v>
      </c>
      <c r="E37" s="124">
        <v>0</v>
      </c>
      <c r="F37" t="str">
        <f t="shared" si="0"/>
        <v>외환차익</v>
      </c>
      <c r="G37" t="str">
        <f>IF(A37="","",F37&amp;"|"&amp;COUNTIF($F$3:F37,F37))</f>
        <v>외환차익|1</v>
      </c>
    </row>
    <row r="38" spans="1:7" ht="13.5" customHeight="1">
      <c r="A38" s="119" t="s">
        <v>316</v>
      </c>
      <c r="B38" s="124">
        <v>7089909</v>
      </c>
      <c r="C38" s="124">
        <v>0</v>
      </c>
      <c r="D38" s="124">
        <v>8659536</v>
      </c>
      <c r="E38" s="124">
        <v>0</v>
      </c>
      <c r="F38" t="str">
        <f t="shared" si="0"/>
        <v>유형자산처분이익</v>
      </c>
      <c r="G38" t="str">
        <f>IF(A38="","",F38&amp;"|"&amp;COUNTIF($F$3:F38,F38))</f>
        <v>유형자산처분이익|1</v>
      </c>
    </row>
    <row r="39" spans="1:7" ht="11.25" customHeight="1">
      <c r="A39" s="119" t="s">
        <v>171</v>
      </c>
      <c r="B39" s="124">
        <v>14571940</v>
      </c>
      <c r="C39" s="124">
        <v>0</v>
      </c>
      <c r="D39" s="124">
        <v>12351038</v>
      </c>
      <c r="E39" s="124">
        <v>0</v>
      </c>
      <c r="F39" t="str">
        <f t="shared" si="0"/>
        <v>잡이익</v>
      </c>
      <c r="G39" t="str">
        <f>IF(A39="","",F39&amp;"|"&amp;COUNTIF($F$3:F39,F39))</f>
        <v>잡이익|1</v>
      </c>
    </row>
    <row r="40" spans="1:7" ht="13.5" customHeight="1">
      <c r="A40" s="119" t="s">
        <v>172</v>
      </c>
      <c r="B40" s="124">
        <v>0</v>
      </c>
      <c r="C40" s="124">
        <v>1315405</v>
      </c>
      <c r="D40" s="124">
        <v>0</v>
      </c>
      <c r="E40" s="124">
        <v>14528746</v>
      </c>
      <c r="F40" t="str">
        <f t="shared" si="0"/>
        <v>Ⅶ.영업외비용</v>
      </c>
      <c r="G40" t="str">
        <f>IF(A40="","",F40&amp;"|"&amp;COUNTIF($F$3:F40,F40))</f>
        <v>Ⅶ.영업외비용|1</v>
      </c>
    </row>
    <row r="41" spans="1:7" ht="11.25" customHeight="1">
      <c r="A41" s="119" t="s">
        <v>174</v>
      </c>
      <c r="B41" s="124">
        <v>1131469</v>
      </c>
      <c r="C41" s="124">
        <v>0</v>
      </c>
      <c r="D41" s="124">
        <v>1282550</v>
      </c>
      <c r="E41" s="124">
        <v>0</v>
      </c>
      <c r="F41" t="str">
        <f t="shared" si="0"/>
        <v>외환차손</v>
      </c>
      <c r="G41" t="str">
        <f>IF(A41="","",F41&amp;"|"&amp;COUNTIF($F$3:F41,F41))</f>
        <v>외환차손|1</v>
      </c>
    </row>
    <row r="42" spans="1:7" ht="11.25" customHeight="1">
      <c r="A42" s="119" t="s">
        <v>175</v>
      </c>
      <c r="B42" s="124">
        <v>0</v>
      </c>
      <c r="C42" s="124">
        <v>0</v>
      </c>
      <c r="D42" s="124">
        <v>12939378</v>
      </c>
      <c r="E42" s="124">
        <v>0</v>
      </c>
      <c r="F42" t="str">
        <f t="shared" si="0"/>
        <v>외화환산손실</v>
      </c>
      <c r="G42" t="str">
        <f>IF(A42="","",F42&amp;"|"&amp;COUNTIF($F$3:F42,F42))</f>
        <v>외화환산손실|1</v>
      </c>
    </row>
    <row r="43" spans="1:7" ht="13.5" customHeight="1">
      <c r="A43" s="119" t="s">
        <v>177</v>
      </c>
      <c r="B43" s="124">
        <v>2000</v>
      </c>
      <c r="C43" s="124">
        <v>0</v>
      </c>
      <c r="D43" s="124">
        <v>0</v>
      </c>
      <c r="E43" s="124">
        <v>0</v>
      </c>
      <c r="F43" t="str">
        <f t="shared" si="0"/>
        <v>유형자산처분손실</v>
      </c>
      <c r="G43" t="str">
        <f>IF(A43="","",F43&amp;"|"&amp;COUNTIF($F$3:F43,F43))</f>
        <v>유형자산처분손실|1</v>
      </c>
    </row>
    <row r="44" spans="1:7" ht="13.5" customHeight="1">
      <c r="A44" s="122" t="s">
        <v>178</v>
      </c>
      <c r="B44" s="124">
        <v>181936</v>
      </c>
      <c r="C44" s="124">
        <v>0</v>
      </c>
      <c r="D44" s="124">
        <v>306818</v>
      </c>
      <c r="E44" s="124">
        <v>0</v>
      </c>
      <c r="F44" t="str">
        <f t="shared" si="0"/>
        <v>잡손실</v>
      </c>
      <c r="G44" t="str">
        <f>IF(A44="","",F44&amp;"|"&amp;COUNTIF($F$3:F44,F44))</f>
        <v>잡손실|1</v>
      </c>
    </row>
    <row r="45" spans="1:7" ht="11.25" customHeight="1">
      <c r="A45" s="119" t="s">
        <v>180</v>
      </c>
      <c r="B45" s="124">
        <v>0</v>
      </c>
      <c r="C45" s="124">
        <v>1851830746</v>
      </c>
      <c r="D45" s="124">
        <v>0</v>
      </c>
      <c r="E45" s="124">
        <v>1821028589</v>
      </c>
      <c r="F45" t="str">
        <f t="shared" si="0"/>
        <v>Ⅷ.법인세비용차감전순이익</v>
      </c>
      <c r="G45" t="str">
        <f>IF(A45="","",F45&amp;"|"&amp;COUNTIF($F$3:F45,F45))</f>
        <v>Ⅷ.법인세비용차감전순이익|1</v>
      </c>
    </row>
    <row r="46" spans="1:7" ht="13.5" customHeight="1">
      <c r="A46" s="119" t="s">
        <v>181</v>
      </c>
      <c r="B46" s="124">
        <v>0</v>
      </c>
      <c r="C46" s="124">
        <v>0</v>
      </c>
      <c r="D46" s="124">
        <v>0</v>
      </c>
      <c r="E46" s="124">
        <v>408545770</v>
      </c>
      <c r="F46" t="str">
        <f t="shared" si="0"/>
        <v>Ⅸ.법인세비용</v>
      </c>
      <c r="G46" t="str">
        <f>IF(A46="","",F46&amp;"|"&amp;COUNTIF($F$3:F46,F46))</f>
        <v>Ⅸ.법인세비용|1</v>
      </c>
    </row>
    <row r="47" spans="1:7" ht="13.5" customHeight="1">
      <c r="A47" s="119" t="s">
        <v>182</v>
      </c>
      <c r="B47" s="124">
        <v>0</v>
      </c>
      <c r="C47" s="124">
        <v>0</v>
      </c>
      <c r="D47" s="124">
        <v>408545770</v>
      </c>
      <c r="E47" s="124">
        <v>0</v>
      </c>
      <c r="F47" t="str">
        <f t="shared" si="0"/>
        <v>법인세등</v>
      </c>
      <c r="G47" t="str">
        <f>IF(A47="","",F47&amp;"|"&amp;COUNTIF($F$3:F47,F47))</f>
        <v>법인세등|1</v>
      </c>
    </row>
    <row r="48" spans="1:7" ht="11.25" customHeight="1">
      <c r="A48" s="119" t="s">
        <v>183</v>
      </c>
      <c r="B48" s="124">
        <v>0</v>
      </c>
      <c r="C48" s="124">
        <v>1851830746</v>
      </c>
      <c r="D48" s="124">
        <v>0</v>
      </c>
      <c r="E48" s="124">
        <v>1412482819</v>
      </c>
      <c r="F48" t="str">
        <f t="shared" si="0"/>
        <v>Ⅹ.당기순이익</v>
      </c>
      <c r="G48" t="str">
        <f>IF(A48="","",F48&amp;"|"&amp;COUNTIF($F$3:F48,F48))</f>
        <v>Ⅹ.당기순이익|1</v>
      </c>
    </row>
    <row r="49" spans="1:5" ht="13.5" customHeight="1">
      <c r="A49" s="119"/>
      <c r="B49" s="124"/>
      <c r="C49" s="124"/>
      <c r="D49" s="124"/>
      <c r="E49" s="124"/>
    </row>
    <row r="50" spans="1:5" ht="13.5" customHeight="1">
      <c r="A50" s="119"/>
      <c r="B50" s="124"/>
      <c r="C50" s="124"/>
      <c r="D50" s="124"/>
      <c r="E50" s="124"/>
    </row>
    <row r="51" spans="1:5" ht="11.25" customHeight="1">
      <c r="A51" s="119"/>
      <c r="B51" s="124"/>
      <c r="C51" s="124"/>
      <c r="D51" s="124"/>
      <c r="E51" s="124"/>
    </row>
    <row r="52" spans="1:5" ht="13.5" customHeight="1">
      <c r="A52" s="121"/>
      <c r="B52" s="124"/>
      <c r="C52" s="124"/>
      <c r="D52" s="124"/>
      <c r="E52" s="124"/>
    </row>
    <row r="53" spans="1:5" ht="13.5" customHeight="1">
      <c r="A53" s="121"/>
      <c r="B53" s="124"/>
      <c r="C53" s="124"/>
      <c r="D53" s="124"/>
      <c r="E53" s="124"/>
    </row>
    <row r="54" spans="1:5" ht="13.5" customHeight="1">
      <c r="A54" s="119"/>
      <c r="B54" s="124"/>
      <c r="C54" s="124"/>
      <c r="D54" s="124"/>
      <c r="E54" s="124"/>
    </row>
    <row r="55" spans="1:5" ht="13.5" customHeight="1">
      <c r="A55" s="121"/>
      <c r="B55" s="124"/>
      <c r="C55" s="124"/>
      <c r="D55" s="124"/>
      <c r="E55" s="124"/>
    </row>
    <row r="56" spans="1:5" ht="11.25" customHeight="1"/>
    <row r="57" spans="1:5" ht="11.25" customHeight="1"/>
    <row r="58" spans="1:5" ht="11.25" customHeight="1"/>
    <row r="59" spans="1:5" ht="11.25" customHeight="1"/>
    <row r="60" spans="1:5" ht="11.25" customHeight="1"/>
    <row r="61" spans="1:5" ht="11.25" customHeight="1"/>
    <row r="62" spans="1:5" ht="11.25" customHeight="1"/>
    <row r="63" spans="1:5" ht="11.25" customHeight="1"/>
    <row r="64" spans="1:5" ht="11.25" customHeight="1"/>
    <row r="65" ht="11.25" customHeight="1"/>
    <row r="66" ht="11.25" customHeight="1"/>
    <row r="67" ht="11.25" customHeight="1"/>
    <row r="68" ht="11.25" customHeight="1"/>
    <row r="69" ht="11.25" customHeight="1"/>
    <row r="70" ht="11.25" customHeight="1"/>
    <row r="71" ht="11.25" customHeight="1"/>
    <row r="72" ht="11.25" customHeight="1"/>
    <row r="73" ht="11.25" customHeight="1"/>
    <row r="74" ht="11.25" customHeight="1"/>
    <row r="75" ht="11.25" customHeight="1"/>
    <row r="76" ht="11.25" customHeight="1"/>
    <row r="77" ht="11.25" customHeight="1"/>
    <row r="78" ht="11.25" customHeight="1"/>
    <row r="79" ht="11.25" customHeight="1"/>
    <row r="80" ht="11.25" customHeight="1"/>
    <row r="81" ht="11.25" customHeight="1"/>
    <row r="82" ht="11.25" customHeight="1"/>
    <row r="83" ht="11.25" customHeight="1"/>
    <row r="84" ht="11.25" customHeight="1"/>
    <row r="85" ht="11.25" customHeight="1"/>
    <row r="86" ht="11.25" customHeight="1"/>
    <row r="87" ht="11.25" customHeight="1"/>
    <row r="88" ht="11.25" customHeight="1"/>
    <row r="89" ht="11.25" customHeight="1"/>
    <row r="90" ht="11.25" customHeight="1"/>
  </sheetData>
  <mergeCells count="5">
    <mergeCell ref="B2:C2"/>
    <mergeCell ref="D2:E2"/>
    <mergeCell ref="D1:E1"/>
    <mergeCell ref="B1:C1"/>
    <mergeCell ref="A1:A2"/>
  </mergeCells>
  <phoneticPr fontId="41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9</vt:i4>
      </vt:variant>
      <vt:variant>
        <vt:lpstr>이름 지정된 범위</vt:lpstr>
      </vt:variant>
      <vt:variant>
        <vt:i4>8</vt:i4>
      </vt:variant>
    </vt:vector>
  </HeadingPairs>
  <TitlesOfParts>
    <vt:vector size="17" baseType="lpstr">
      <vt:lpstr>인덱스</vt:lpstr>
      <vt:lpstr>요약</vt:lpstr>
      <vt:lpstr>재무상태표(내역)</vt:lpstr>
      <vt:lpstr>매출액대비 비율분석</vt:lpstr>
      <vt:lpstr>전월대비증감</vt:lpstr>
      <vt:lpstr>재무상태표</vt:lpstr>
      <vt:lpstr>기간별손익계산서</vt:lpstr>
      <vt:lpstr>기간별손익계산서(전년동기)</vt:lpstr>
      <vt:lpstr>손익계산서</vt:lpstr>
      <vt:lpstr>기간별손익계산서!Print_Area</vt:lpstr>
      <vt:lpstr>'매출액대비 비율분석'!Print_Area</vt:lpstr>
      <vt:lpstr>손익계산서!Print_Area</vt:lpstr>
      <vt:lpstr>인덱스!Print_Area</vt:lpstr>
      <vt:lpstr>재무상태표!Print_Area</vt:lpstr>
      <vt:lpstr>'재무상태표(내역)'!Print_Area</vt:lpstr>
      <vt:lpstr>전월대비증감!Print_Area</vt:lpstr>
      <vt:lpstr>'재무상태표(내역)'!Print_Titles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창현관리부</dc:creator>
  <cp:lastModifiedBy>권희영 권희영</cp:lastModifiedBy>
  <cp:revision>20</cp:revision>
  <cp:lastPrinted>2026-09-03T05:24:03Z</cp:lastPrinted>
  <dcterms:created xsi:type="dcterms:W3CDTF">2022-09-29T02:43:59Z</dcterms:created>
  <dcterms:modified xsi:type="dcterms:W3CDTF">2026-09-03T06:00:36Z</dcterms:modified>
  <dc:language>en-US</dc:language>
</cp:coreProperties>
</file>