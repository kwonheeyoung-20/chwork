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chwork_monthly_closing_japgeup_fix_v4\"/>
    </mc:Choice>
  </mc:AlternateContent>
  <xr:revisionPtr revIDLastSave="0" documentId="13_ncr:1_{AFF229BA-B4E5-4508-87D7-634824771F8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비율분석'!$A$1:$K$62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전월대비증감!$A$1:$Q$56</definedName>
    <definedName name="_xlnm.Print_Titles" localSheetId="2">'재무상태표(내역)'!$1:$8</definedName>
  </definedNames>
  <calcPr calcId="191029"/>
</workbook>
</file>

<file path=xl/calcChain.xml><?xml version="1.0" encoding="utf-8"?>
<calcChain xmlns="http://schemas.openxmlformats.org/spreadsheetml/2006/main">
  <c r="F48" i="9" l="1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G17" i="9"/>
  <c r="F17" i="9"/>
  <c r="F16" i="9"/>
  <c r="F15" i="9"/>
  <c r="F14" i="9"/>
  <c r="F13" i="9"/>
  <c r="G13" i="9" s="1"/>
  <c r="F12" i="9"/>
  <c r="F11" i="9"/>
  <c r="F10" i="9"/>
  <c r="F9" i="9"/>
  <c r="G8" i="9"/>
  <c r="F8" i="9"/>
  <c r="F7" i="9"/>
  <c r="F6" i="9"/>
  <c r="F5" i="9"/>
  <c r="F4" i="9"/>
  <c r="F3" i="9"/>
  <c r="G3" i="9" s="1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P5" i="8"/>
  <c r="O5" i="8"/>
  <c r="O4" i="8"/>
  <c r="P4" i="8" s="1"/>
  <c r="O3" i="8"/>
  <c r="P3" i="8" s="1"/>
  <c r="P2" i="8"/>
  <c r="O2" i="8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P2" i="7"/>
  <c r="Q2" i="7" s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G16" i="6"/>
  <c r="F16" i="6"/>
  <c r="F15" i="6"/>
  <c r="F14" i="6"/>
  <c r="F13" i="6"/>
  <c r="F12" i="6"/>
  <c r="G12" i="6" s="1"/>
  <c r="F11" i="6"/>
  <c r="F10" i="6"/>
  <c r="F9" i="6"/>
  <c r="G9" i="6" s="1"/>
  <c r="F8" i="6"/>
  <c r="F7" i="6"/>
  <c r="F6" i="6"/>
  <c r="F5" i="6"/>
  <c r="G4" i="6"/>
  <c r="F4" i="6"/>
  <c r="F3" i="6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O15" i="5"/>
  <c r="N15" i="5"/>
  <c r="O14" i="5"/>
  <c r="N14" i="5"/>
  <c r="N13" i="5"/>
  <c r="O12" i="5"/>
  <c r="N12" i="5"/>
  <c r="O11" i="5"/>
  <c r="N11" i="5"/>
  <c r="O10" i="5"/>
  <c r="N10" i="5"/>
  <c r="N9" i="5"/>
  <c r="O9" i="5" s="1"/>
  <c r="N8" i="5"/>
  <c r="O7" i="5"/>
  <c r="N7" i="5"/>
  <c r="G7" i="5"/>
  <c r="C7" i="5"/>
  <c r="J6" i="5"/>
  <c r="I6" i="5"/>
  <c r="A3" i="5"/>
  <c r="A1" i="5"/>
  <c r="H62" i="4"/>
  <c r="K61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I47" i="4"/>
  <c r="H47" i="4"/>
  <c r="H46" i="4"/>
  <c r="H45" i="4"/>
  <c r="H44" i="4"/>
  <c r="H43" i="4"/>
  <c r="H42" i="4"/>
  <c r="H41" i="4"/>
  <c r="H40" i="4"/>
  <c r="I40" i="4" s="1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I25" i="4" s="1"/>
  <c r="H24" i="4"/>
  <c r="H23" i="4"/>
  <c r="H22" i="4"/>
  <c r="I22" i="4" s="1"/>
  <c r="H21" i="4"/>
  <c r="H20" i="4"/>
  <c r="H19" i="4"/>
  <c r="H18" i="4"/>
  <c r="K17" i="4"/>
  <c r="H17" i="4"/>
  <c r="K16" i="4"/>
  <c r="H16" i="4"/>
  <c r="K15" i="4"/>
  <c r="H15" i="4"/>
  <c r="K14" i="4"/>
  <c r="H14" i="4"/>
  <c r="K13" i="4"/>
  <c r="H13" i="4"/>
  <c r="H12" i="4"/>
  <c r="K11" i="4"/>
  <c r="H11" i="4"/>
  <c r="K10" i="4"/>
  <c r="H10" i="4"/>
  <c r="H9" i="4"/>
  <c r="I46" i="4" s="1"/>
  <c r="A4" i="4"/>
  <c r="A3" i="4"/>
  <c r="H80" i="3"/>
  <c r="H79" i="3"/>
  <c r="H78" i="3"/>
  <c r="G78" i="3"/>
  <c r="A78" i="3"/>
  <c r="G77" i="3"/>
  <c r="A77" i="3"/>
  <c r="H77" i="3" s="1"/>
  <c r="I77" i="3" s="1"/>
  <c r="H76" i="3"/>
  <c r="H75" i="3"/>
  <c r="H74" i="3"/>
  <c r="H73" i="3"/>
  <c r="H72" i="3"/>
  <c r="H71" i="3"/>
  <c r="H70" i="3"/>
  <c r="H69" i="3"/>
  <c r="H68" i="3"/>
  <c r="H67" i="3"/>
  <c r="K66" i="3"/>
  <c r="H66" i="3"/>
  <c r="H65" i="3"/>
  <c r="I65" i="3" s="1"/>
  <c r="H64" i="3"/>
  <c r="H63" i="3"/>
  <c r="I63" i="3" s="1"/>
  <c r="H62" i="3"/>
  <c r="H61" i="3"/>
  <c r="I61" i="3" s="1"/>
  <c r="H60" i="3"/>
  <c r="H59" i="3"/>
  <c r="I59" i="3" s="1"/>
  <c r="H58" i="3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K51" i="3"/>
  <c r="H51" i="3"/>
  <c r="I51" i="3" s="1"/>
  <c r="H50" i="3"/>
  <c r="H49" i="3"/>
  <c r="I49" i="3" s="1"/>
  <c r="H48" i="3"/>
  <c r="H47" i="3"/>
  <c r="I47" i="3" s="1"/>
  <c r="H46" i="3"/>
  <c r="H45" i="3"/>
  <c r="I45" i="3" s="1"/>
  <c r="H44" i="3"/>
  <c r="I43" i="3"/>
  <c r="H43" i="3"/>
  <c r="I42" i="3"/>
  <c r="H42" i="3"/>
  <c r="H41" i="3"/>
  <c r="H40" i="3"/>
  <c r="H39" i="3"/>
  <c r="I39" i="3" s="1"/>
  <c r="H38" i="3"/>
  <c r="I38" i="3" s="1"/>
  <c r="I37" i="3"/>
  <c r="H37" i="3"/>
  <c r="H36" i="3"/>
  <c r="H35" i="3"/>
  <c r="I35" i="3" s="1"/>
  <c r="H34" i="3"/>
  <c r="I34" i="3" s="1"/>
  <c r="I33" i="3"/>
  <c r="H33" i="3"/>
  <c r="H32" i="3"/>
  <c r="H31" i="3"/>
  <c r="I31" i="3" s="1"/>
  <c r="H30" i="3"/>
  <c r="I30" i="3" s="1"/>
  <c r="I29" i="3"/>
  <c r="H29" i="3"/>
  <c r="H28" i="3"/>
  <c r="H27" i="3"/>
  <c r="I27" i="3" s="1"/>
  <c r="H26" i="3"/>
  <c r="I26" i="3" s="1"/>
  <c r="I25" i="3"/>
  <c r="H25" i="3"/>
  <c r="H24" i="3"/>
  <c r="H23" i="3"/>
  <c r="I23" i="3" s="1"/>
  <c r="H22" i="3"/>
  <c r="I22" i="3" s="1"/>
  <c r="I21" i="3"/>
  <c r="H21" i="3"/>
  <c r="H20" i="3"/>
  <c r="H19" i="3"/>
  <c r="I19" i="3" s="1"/>
  <c r="H18" i="3"/>
  <c r="I18" i="3" s="1"/>
  <c r="I17" i="3"/>
  <c r="H17" i="3"/>
  <c r="H16" i="3"/>
  <c r="H15" i="3"/>
  <c r="I15" i="3" s="1"/>
  <c r="H14" i="3"/>
  <c r="I14" i="3" s="1"/>
  <c r="I13" i="3"/>
  <c r="H13" i="3"/>
  <c r="H12" i="3"/>
  <c r="H11" i="3"/>
  <c r="I11" i="3" s="1"/>
  <c r="I10" i="3"/>
  <c r="H10" i="3"/>
  <c r="I36" i="3" s="1"/>
  <c r="K9" i="3"/>
  <c r="H9" i="3"/>
  <c r="A4" i="3"/>
  <c r="A3" i="3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B41" i="2" s="1"/>
  <c r="A30" i="2"/>
  <c r="C29" i="2"/>
  <c r="C41" i="2" s="1"/>
  <c r="B29" i="2"/>
  <c r="A29" i="2"/>
  <c r="C8" i="2"/>
  <c r="C7" i="2"/>
  <c r="C6" i="2"/>
  <c r="B6" i="2"/>
  <c r="B5" i="2"/>
  <c r="A2" i="2"/>
  <c r="B12" i="1"/>
  <c r="B11" i="1"/>
  <c r="B10" i="1"/>
  <c r="B9" i="1"/>
  <c r="B8" i="1"/>
  <c r="B7" i="1"/>
  <c r="A1" i="1"/>
  <c r="I60" i="3" l="1"/>
  <c r="J10" i="3"/>
  <c r="I64" i="3"/>
  <c r="I44" i="3"/>
  <c r="I69" i="3"/>
  <c r="I80" i="3"/>
  <c r="I31" i="4"/>
  <c r="I37" i="4"/>
  <c r="I76" i="3"/>
  <c r="I74" i="3"/>
  <c r="I72" i="3"/>
  <c r="I70" i="3"/>
  <c r="I68" i="3"/>
  <c r="I46" i="3"/>
  <c r="I45" i="4"/>
  <c r="B11" i="5"/>
  <c r="G11" i="5"/>
  <c r="O28" i="5"/>
  <c r="O34" i="5"/>
  <c r="I58" i="3"/>
  <c r="I62" i="3"/>
  <c r="I75" i="3"/>
  <c r="I78" i="3"/>
  <c r="I28" i="4"/>
  <c r="I34" i="4"/>
  <c r="I9" i="3"/>
  <c r="I48" i="3"/>
  <c r="I67" i="3"/>
  <c r="I73" i="3"/>
  <c r="I15" i="4"/>
  <c r="O17" i="5"/>
  <c r="O41" i="5"/>
  <c r="O21" i="5"/>
  <c r="O27" i="5"/>
  <c r="O39" i="5"/>
  <c r="O19" i="5"/>
  <c r="O50" i="5"/>
  <c r="I50" i="3"/>
  <c r="I66" i="3"/>
  <c r="I79" i="3"/>
  <c r="I62" i="4"/>
  <c r="I12" i="3"/>
  <c r="I16" i="3"/>
  <c r="I20" i="3"/>
  <c r="I24" i="3"/>
  <c r="I28" i="3"/>
  <c r="I32" i="3"/>
  <c r="I40" i="3"/>
  <c r="I41" i="3"/>
  <c r="I71" i="3"/>
  <c r="I59" i="4"/>
  <c r="I9" i="4"/>
  <c r="I61" i="4"/>
  <c r="I50" i="4"/>
  <c r="I49" i="4"/>
  <c r="I16" i="4"/>
  <c r="I13" i="4"/>
  <c r="I12" i="4"/>
  <c r="I53" i="4"/>
  <c r="I52" i="4"/>
  <c r="I56" i="4"/>
  <c r="I55" i="4"/>
  <c r="I11" i="4"/>
  <c r="I10" i="4"/>
  <c r="I58" i="4"/>
  <c r="I19" i="4"/>
  <c r="I44" i="4"/>
  <c r="I43" i="4"/>
  <c r="I18" i="4"/>
  <c r="O20" i="5"/>
  <c r="O25" i="5"/>
  <c r="I41" i="4"/>
  <c r="I42" i="4"/>
  <c r="E9" i="5"/>
  <c r="B9" i="5"/>
  <c r="D9" i="5"/>
  <c r="H10" i="5"/>
  <c r="P7" i="8"/>
  <c r="P38" i="8"/>
  <c r="P11" i="8"/>
  <c r="P29" i="8"/>
  <c r="P20" i="8"/>
  <c r="I20" i="4"/>
  <c r="I23" i="4"/>
  <c r="I26" i="4"/>
  <c r="I29" i="4"/>
  <c r="I32" i="4"/>
  <c r="I35" i="4"/>
  <c r="I38" i="4"/>
  <c r="I57" i="4"/>
  <c r="P9" i="5"/>
  <c r="O23" i="5"/>
  <c r="Q3" i="7"/>
  <c r="F11" i="5" s="1"/>
  <c r="Q37" i="7"/>
  <c r="Q28" i="7"/>
  <c r="Q19" i="7"/>
  <c r="Q10" i="7"/>
  <c r="H15" i="5" s="1"/>
  <c r="Q40" i="7"/>
  <c r="Q31" i="7"/>
  <c r="Q22" i="7"/>
  <c r="Q13" i="7"/>
  <c r="Q4" i="7"/>
  <c r="H9" i="5" s="1"/>
  <c r="Q25" i="7"/>
  <c r="Q34" i="7"/>
  <c r="Q7" i="7"/>
  <c r="Q16" i="7"/>
  <c r="I54" i="4"/>
  <c r="O47" i="5"/>
  <c r="I21" i="4"/>
  <c r="I24" i="4"/>
  <c r="I27" i="4"/>
  <c r="I30" i="4"/>
  <c r="I33" i="4"/>
  <c r="I36" i="4"/>
  <c r="I39" i="4"/>
  <c r="I51" i="4"/>
  <c r="J7" i="5"/>
  <c r="D7" i="5"/>
  <c r="I7" i="5"/>
  <c r="Q7" i="5" s="1"/>
  <c r="B7" i="5"/>
  <c r="P7" i="5"/>
  <c r="H7" i="5"/>
  <c r="F7" i="5"/>
  <c r="E7" i="5"/>
  <c r="C9" i="5"/>
  <c r="O24" i="5"/>
  <c r="I14" i="4"/>
  <c r="I17" i="4"/>
  <c r="I48" i="4"/>
  <c r="I60" i="4"/>
  <c r="D12" i="5"/>
  <c r="O13" i="5"/>
  <c r="O16" i="5"/>
  <c r="O29" i="5"/>
  <c r="O31" i="5"/>
  <c r="O33" i="5"/>
  <c r="O49" i="5"/>
  <c r="O52" i="5"/>
  <c r="G3" i="6"/>
  <c r="J18" i="3" s="1"/>
  <c r="G70" i="6"/>
  <c r="G61" i="6"/>
  <c r="G52" i="6"/>
  <c r="G43" i="6"/>
  <c r="G64" i="6"/>
  <c r="G55" i="6"/>
  <c r="G46" i="6"/>
  <c r="G37" i="6"/>
  <c r="G31" i="6"/>
  <c r="G67" i="6"/>
  <c r="G40" i="6"/>
  <c r="G49" i="6"/>
  <c r="G28" i="6"/>
  <c r="G19" i="6"/>
  <c r="G10" i="6"/>
  <c r="G7" i="6"/>
  <c r="G22" i="6"/>
  <c r="G44" i="9"/>
  <c r="O55" i="5"/>
  <c r="O54" i="5"/>
  <c r="O43" i="5"/>
  <c r="O37" i="5"/>
  <c r="O8" i="5"/>
  <c r="O26" i="5"/>
  <c r="O46" i="5"/>
  <c r="G13" i="6"/>
  <c r="G18" i="6"/>
  <c r="G45" i="6"/>
  <c r="G34" i="6"/>
  <c r="G22" i="9"/>
  <c r="G26" i="9"/>
  <c r="G35" i="9"/>
  <c r="O40" i="5"/>
  <c r="O45" i="5"/>
  <c r="O48" i="5"/>
  <c r="O51" i="5"/>
  <c r="O53" i="5"/>
  <c r="G30" i="6"/>
  <c r="G58" i="6"/>
  <c r="Q30" i="7"/>
  <c r="P34" i="8"/>
  <c r="F14" i="5"/>
  <c r="O18" i="5"/>
  <c r="O22" i="5"/>
  <c r="O35" i="5"/>
  <c r="G21" i="6"/>
  <c r="G25" i="6"/>
  <c r="G6" i="6"/>
  <c r="G15" i="6"/>
  <c r="G24" i="6"/>
  <c r="G54" i="6"/>
  <c r="Q12" i="7"/>
  <c r="Q39" i="7"/>
  <c r="O32" i="5"/>
  <c r="O38" i="5"/>
  <c r="O44" i="5"/>
  <c r="P25" i="8"/>
  <c r="G40" i="9"/>
  <c r="O30" i="5"/>
  <c r="O36" i="5"/>
  <c r="O42" i="5"/>
  <c r="P16" i="8"/>
  <c r="G4" i="9"/>
  <c r="B46" i="4" s="1"/>
  <c r="G47" i="9"/>
  <c r="G38" i="9"/>
  <c r="G29" i="9"/>
  <c r="G20" i="9"/>
  <c r="G11" i="9"/>
  <c r="G41" i="9"/>
  <c r="G32" i="9"/>
  <c r="G23" i="9"/>
  <c r="G14" i="9"/>
  <c r="G5" i="9"/>
  <c r="C22" i="4" s="1"/>
  <c r="G31" i="9"/>
  <c r="G27" i="6"/>
  <c r="G36" i="6"/>
  <c r="G63" i="6"/>
  <c r="Q21" i="7"/>
  <c r="G5" i="6"/>
  <c r="C25" i="3" s="1"/>
  <c r="G14" i="6"/>
  <c r="G23" i="6"/>
  <c r="G32" i="6"/>
  <c r="G41" i="6"/>
  <c r="G50" i="6"/>
  <c r="G59" i="6"/>
  <c r="G68" i="6"/>
  <c r="Q8" i="7"/>
  <c r="Q17" i="7"/>
  <c r="Q26" i="7"/>
  <c r="Q35" i="7"/>
  <c r="P12" i="8"/>
  <c r="P21" i="8"/>
  <c r="P30" i="8"/>
  <c r="P39" i="8"/>
  <c r="G9" i="9"/>
  <c r="G18" i="9"/>
  <c r="G27" i="9"/>
  <c r="G36" i="9"/>
  <c r="G45" i="9"/>
  <c r="G33" i="6"/>
  <c r="G42" i="6"/>
  <c r="G51" i="6"/>
  <c r="G60" i="6"/>
  <c r="G69" i="6"/>
  <c r="Q9" i="7"/>
  <c r="Q18" i="7"/>
  <c r="Q27" i="7"/>
  <c r="Q36" i="7"/>
  <c r="P8" i="8"/>
  <c r="P13" i="8"/>
  <c r="P17" i="8"/>
  <c r="P22" i="8"/>
  <c r="P26" i="8"/>
  <c r="P31" i="8"/>
  <c r="P35" i="8"/>
  <c r="P40" i="8"/>
  <c r="G10" i="9"/>
  <c r="G19" i="9"/>
  <c r="G28" i="9"/>
  <c r="G37" i="9"/>
  <c r="G46" i="9"/>
  <c r="G11" i="6"/>
  <c r="G20" i="6"/>
  <c r="G29" i="6"/>
  <c r="G38" i="6"/>
  <c r="G47" i="6"/>
  <c r="G56" i="6"/>
  <c r="G65" i="6"/>
  <c r="Q5" i="7"/>
  <c r="P10" i="5" s="1"/>
  <c r="Q14" i="7"/>
  <c r="Q23" i="7"/>
  <c r="Q32" i="7"/>
  <c r="Q41" i="7"/>
  <c r="P9" i="8"/>
  <c r="P18" i="8"/>
  <c r="P27" i="8"/>
  <c r="P36" i="8"/>
  <c r="G6" i="9"/>
  <c r="G15" i="9"/>
  <c r="G24" i="9"/>
  <c r="G33" i="9"/>
  <c r="G42" i="9"/>
  <c r="G39" i="6"/>
  <c r="G48" i="6"/>
  <c r="G57" i="6"/>
  <c r="G66" i="6"/>
  <c r="Q6" i="7"/>
  <c r="Q15" i="7"/>
  <c r="Q24" i="7"/>
  <c r="Q33" i="7"/>
  <c r="Q42" i="7"/>
  <c r="P10" i="8"/>
  <c r="P14" i="8"/>
  <c r="P19" i="8"/>
  <c r="P23" i="8"/>
  <c r="P28" i="8"/>
  <c r="P32" i="8"/>
  <c r="P37" i="8"/>
  <c r="P41" i="8"/>
  <c r="G7" i="9"/>
  <c r="G16" i="9"/>
  <c r="G25" i="9"/>
  <c r="G34" i="9"/>
  <c r="G43" i="9"/>
  <c r="G8" i="6"/>
  <c r="G17" i="6"/>
  <c r="G26" i="6"/>
  <c r="G35" i="6"/>
  <c r="G44" i="6"/>
  <c r="G53" i="6"/>
  <c r="G62" i="6"/>
  <c r="Q11" i="7"/>
  <c r="Q20" i="7"/>
  <c r="Q29" i="7"/>
  <c r="Q38" i="7"/>
  <c r="P6" i="8"/>
  <c r="P15" i="8"/>
  <c r="P24" i="8"/>
  <c r="P33" i="8"/>
  <c r="G12" i="9"/>
  <c r="G21" i="9"/>
  <c r="G30" i="9"/>
  <c r="G39" i="9"/>
  <c r="G48" i="9"/>
  <c r="F24" i="5" l="1"/>
  <c r="J24" i="5"/>
  <c r="C24" i="5"/>
  <c r="P24" i="5"/>
  <c r="H24" i="5"/>
  <c r="E24" i="5"/>
  <c r="D24" i="5"/>
  <c r="B24" i="5"/>
  <c r="I24" i="5"/>
  <c r="G24" i="5"/>
  <c r="C21" i="4"/>
  <c r="F21" i="4"/>
  <c r="J21" i="4"/>
  <c r="E21" i="4"/>
  <c r="B21" i="4"/>
  <c r="J42" i="4"/>
  <c r="C42" i="4"/>
  <c r="F42" i="4"/>
  <c r="E42" i="4"/>
  <c r="B42" i="4"/>
  <c r="B56" i="4"/>
  <c r="J56" i="4"/>
  <c r="C56" i="4"/>
  <c r="F56" i="4"/>
  <c r="E56" i="4"/>
  <c r="F56" i="3"/>
  <c r="K56" i="3" s="1"/>
  <c r="F79" i="3"/>
  <c r="E79" i="3"/>
  <c r="C79" i="3"/>
  <c r="J79" i="3"/>
  <c r="B79" i="3"/>
  <c r="B58" i="3"/>
  <c r="F58" i="3"/>
  <c r="K58" i="3" s="1"/>
  <c r="E58" i="3"/>
  <c r="C58" i="3"/>
  <c r="J58" i="3"/>
  <c r="F76" i="3"/>
  <c r="K76" i="3" s="1"/>
  <c r="B76" i="3"/>
  <c r="E76" i="3"/>
  <c r="C76" i="3"/>
  <c r="G76" i="3" s="1"/>
  <c r="J76" i="3"/>
  <c r="F25" i="4"/>
  <c r="J29" i="3"/>
  <c r="J40" i="4"/>
  <c r="J37" i="3"/>
  <c r="E46" i="4"/>
  <c r="J63" i="3"/>
  <c r="F27" i="3"/>
  <c r="E22" i="3"/>
  <c r="B45" i="3"/>
  <c r="F26" i="3"/>
  <c r="K26" i="3" s="1"/>
  <c r="C14" i="3"/>
  <c r="E47" i="3"/>
  <c r="J31" i="3"/>
  <c r="C36" i="3"/>
  <c r="J61" i="3"/>
  <c r="F35" i="3"/>
  <c r="K35" i="3" s="1"/>
  <c r="E30" i="3"/>
  <c r="F11" i="3"/>
  <c r="E65" i="3"/>
  <c r="F38" i="3"/>
  <c r="F49" i="3"/>
  <c r="B39" i="3"/>
  <c r="C34" i="3"/>
  <c r="J15" i="3"/>
  <c r="J59" i="3"/>
  <c r="C19" i="3"/>
  <c r="E23" i="3"/>
  <c r="J53" i="3"/>
  <c r="J36" i="5"/>
  <c r="D36" i="5"/>
  <c r="H36" i="5"/>
  <c r="B36" i="5"/>
  <c r="F36" i="5"/>
  <c r="I36" i="5"/>
  <c r="G36" i="5"/>
  <c r="P36" i="5"/>
  <c r="E36" i="5"/>
  <c r="C36" i="5"/>
  <c r="J32" i="5"/>
  <c r="D32" i="5"/>
  <c r="H32" i="5"/>
  <c r="B32" i="5"/>
  <c r="F32" i="5"/>
  <c r="E32" i="5"/>
  <c r="I32" i="5"/>
  <c r="Q32" i="5" s="1"/>
  <c r="G32" i="5"/>
  <c r="C32" i="5"/>
  <c r="P32" i="5"/>
  <c r="D14" i="5"/>
  <c r="G43" i="5"/>
  <c r="E43" i="5"/>
  <c r="P43" i="5"/>
  <c r="I43" i="5"/>
  <c r="Q43" i="5" s="1"/>
  <c r="C43" i="5"/>
  <c r="J43" i="5"/>
  <c r="F43" i="5"/>
  <c r="D43" i="5"/>
  <c r="H43" i="5"/>
  <c r="B43" i="5"/>
  <c r="G33" i="5"/>
  <c r="E33" i="5"/>
  <c r="P33" i="5"/>
  <c r="I33" i="5"/>
  <c r="Q33" i="5" s="1"/>
  <c r="C33" i="5"/>
  <c r="B33" i="5"/>
  <c r="J33" i="5"/>
  <c r="H33" i="5"/>
  <c r="F33" i="5"/>
  <c r="D33" i="5"/>
  <c r="C12" i="5"/>
  <c r="J12" i="5"/>
  <c r="G10" i="5"/>
  <c r="C36" i="4"/>
  <c r="F36" i="4"/>
  <c r="J36" i="4"/>
  <c r="E36" i="4"/>
  <c r="B36" i="4"/>
  <c r="G47" i="5"/>
  <c r="E47" i="5"/>
  <c r="P47" i="5"/>
  <c r="I47" i="5"/>
  <c r="Q47" i="5" s="1"/>
  <c r="C47" i="5"/>
  <c r="F47" i="5"/>
  <c r="B47" i="5"/>
  <c r="J47" i="5"/>
  <c r="H47" i="5"/>
  <c r="D47" i="5"/>
  <c r="J57" i="4"/>
  <c r="C57" i="4"/>
  <c r="F57" i="4"/>
  <c r="B57" i="4"/>
  <c r="E57" i="4"/>
  <c r="C23" i="4"/>
  <c r="F23" i="4"/>
  <c r="B23" i="4"/>
  <c r="J23" i="4"/>
  <c r="E23" i="4"/>
  <c r="B10" i="5"/>
  <c r="F9" i="5"/>
  <c r="J41" i="4"/>
  <c r="C41" i="4"/>
  <c r="F41" i="4"/>
  <c r="E41" i="4"/>
  <c r="B41" i="4"/>
  <c r="J19" i="4"/>
  <c r="E19" i="4"/>
  <c r="C19" i="4"/>
  <c r="B19" i="4"/>
  <c r="F19" i="4"/>
  <c r="F52" i="4"/>
  <c r="E52" i="4"/>
  <c r="B52" i="4"/>
  <c r="J52" i="4"/>
  <c r="C52" i="4"/>
  <c r="B50" i="4"/>
  <c r="J50" i="4"/>
  <c r="F50" i="4"/>
  <c r="E50" i="4"/>
  <c r="C50" i="4"/>
  <c r="F54" i="3"/>
  <c r="J24" i="3"/>
  <c r="C24" i="3"/>
  <c r="G24" i="3" s="1"/>
  <c r="B24" i="3"/>
  <c r="F24" i="3"/>
  <c r="E24" i="3"/>
  <c r="I15" i="5"/>
  <c r="P15" i="5"/>
  <c r="J66" i="3"/>
  <c r="P19" i="5"/>
  <c r="I19" i="5"/>
  <c r="Q19" i="5" s="1"/>
  <c r="C19" i="5"/>
  <c r="F19" i="5"/>
  <c r="D19" i="5"/>
  <c r="H19" i="5"/>
  <c r="G19" i="5"/>
  <c r="B19" i="5"/>
  <c r="E19" i="5"/>
  <c r="J19" i="5"/>
  <c r="C47" i="4"/>
  <c r="F15" i="4"/>
  <c r="J15" i="4"/>
  <c r="B15" i="4"/>
  <c r="E15" i="4"/>
  <c r="C15" i="4"/>
  <c r="C43" i="3"/>
  <c r="E21" i="3"/>
  <c r="C28" i="4"/>
  <c r="F28" i="4"/>
  <c r="E28" i="4"/>
  <c r="B28" i="4"/>
  <c r="J28" i="4"/>
  <c r="B29" i="3"/>
  <c r="C42" i="3"/>
  <c r="J11" i="5"/>
  <c r="I11" i="5"/>
  <c r="Q11" i="5" s="1"/>
  <c r="C33" i="3"/>
  <c r="E10" i="3"/>
  <c r="C37" i="4"/>
  <c r="F37" i="4"/>
  <c r="E37" i="4"/>
  <c r="B37" i="4"/>
  <c r="J37" i="4"/>
  <c r="C25" i="4"/>
  <c r="J25" i="3"/>
  <c r="B40" i="4"/>
  <c r="J33" i="3"/>
  <c r="B60" i="3"/>
  <c r="F60" i="3"/>
  <c r="K60" i="3" s="1"/>
  <c r="E60" i="3"/>
  <c r="C60" i="3"/>
  <c r="J60" i="3"/>
  <c r="F46" i="4"/>
  <c r="B57" i="3"/>
  <c r="B27" i="3"/>
  <c r="F22" i="3"/>
  <c r="C45" i="3"/>
  <c r="C26" i="3"/>
  <c r="G26" i="3" s="1"/>
  <c r="J14" i="3"/>
  <c r="C56" i="3"/>
  <c r="G56" i="3" s="1"/>
  <c r="C31" i="3"/>
  <c r="J36" i="3"/>
  <c r="B55" i="3"/>
  <c r="E35" i="3"/>
  <c r="F30" i="3"/>
  <c r="C11" i="3"/>
  <c r="G11" i="3" s="1"/>
  <c r="F65" i="3"/>
  <c r="C38" i="3"/>
  <c r="G38" i="3" s="1"/>
  <c r="J49" i="3"/>
  <c r="J39" i="3"/>
  <c r="J34" i="3"/>
  <c r="C15" i="3"/>
  <c r="F33" i="3"/>
  <c r="K33" i="3" s="1"/>
  <c r="E52" i="3"/>
  <c r="C23" i="3"/>
  <c r="B18" i="3"/>
  <c r="J38" i="5"/>
  <c r="D38" i="5"/>
  <c r="H38" i="5"/>
  <c r="B38" i="5"/>
  <c r="F38" i="5"/>
  <c r="E38" i="5"/>
  <c r="I38" i="5"/>
  <c r="Q38" i="5" s="1"/>
  <c r="G38" i="5"/>
  <c r="C38" i="5"/>
  <c r="P38" i="5"/>
  <c r="F18" i="5"/>
  <c r="G18" i="5"/>
  <c r="D18" i="5"/>
  <c r="B18" i="5"/>
  <c r="J18" i="5"/>
  <c r="H18" i="5"/>
  <c r="E18" i="5"/>
  <c r="P18" i="5"/>
  <c r="I18" i="5"/>
  <c r="C18" i="5"/>
  <c r="P13" i="5"/>
  <c r="H13" i="5"/>
  <c r="B13" i="5"/>
  <c r="F13" i="5"/>
  <c r="C13" i="5"/>
  <c r="J13" i="5"/>
  <c r="G13" i="5"/>
  <c r="E13" i="5"/>
  <c r="I13" i="5"/>
  <c r="Q13" i="5" s="1"/>
  <c r="D13" i="5"/>
  <c r="C26" i="4"/>
  <c r="F26" i="4"/>
  <c r="B26" i="4"/>
  <c r="J26" i="4"/>
  <c r="E26" i="4"/>
  <c r="B44" i="4"/>
  <c r="J44" i="4"/>
  <c r="F44" i="4"/>
  <c r="E44" i="4"/>
  <c r="C44" i="4"/>
  <c r="F49" i="4"/>
  <c r="E49" i="4"/>
  <c r="B49" i="4"/>
  <c r="C49" i="4"/>
  <c r="J49" i="4"/>
  <c r="J28" i="3"/>
  <c r="C28" i="3"/>
  <c r="B28" i="3"/>
  <c r="F28" i="3"/>
  <c r="K28" i="3" s="1"/>
  <c r="E28" i="3"/>
  <c r="E15" i="5"/>
  <c r="P50" i="5"/>
  <c r="I50" i="5"/>
  <c r="C50" i="5"/>
  <c r="D50" i="5"/>
  <c r="H50" i="5"/>
  <c r="F50" i="5"/>
  <c r="J50" i="5"/>
  <c r="G50" i="5"/>
  <c r="E50" i="5"/>
  <c r="B50" i="5"/>
  <c r="P17" i="5"/>
  <c r="I17" i="5"/>
  <c r="C17" i="5"/>
  <c r="G17" i="5"/>
  <c r="E17" i="5"/>
  <c r="F17" i="5"/>
  <c r="D17" i="5"/>
  <c r="J17" i="5"/>
  <c r="H17" i="5"/>
  <c r="B17" i="5"/>
  <c r="B56" i="3"/>
  <c r="J48" i="3"/>
  <c r="C48" i="3"/>
  <c r="G48" i="3" s="1"/>
  <c r="E48" i="3"/>
  <c r="B48" i="3"/>
  <c r="F48" i="3"/>
  <c r="E25" i="3"/>
  <c r="C34" i="4"/>
  <c r="F34" i="4"/>
  <c r="E34" i="4"/>
  <c r="B34" i="4"/>
  <c r="J34" i="4"/>
  <c r="B37" i="3"/>
  <c r="C37" i="3"/>
  <c r="C13" i="3"/>
  <c r="J30" i="5"/>
  <c r="D30" i="5"/>
  <c r="H30" i="5"/>
  <c r="B30" i="5"/>
  <c r="F30" i="5"/>
  <c r="I30" i="5"/>
  <c r="Q30" i="5" s="1"/>
  <c r="G30" i="5"/>
  <c r="E30" i="5"/>
  <c r="C30" i="5"/>
  <c r="P30" i="5"/>
  <c r="J14" i="5"/>
  <c r="F53" i="5"/>
  <c r="I53" i="5"/>
  <c r="Q53" i="5" s="1"/>
  <c r="B53" i="5"/>
  <c r="G53" i="5"/>
  <c r="D53" i="5"/>
  <c r="H53" i="5"/>
  <c r="C53" i="5"/>
  <c r="P53" i="5"/>
  <c r="J53" i="5"/>
  <c r="E53" i="5"/>
  <c r="J46" i="5"/>
  <c r="D46" i="5"/>
  <c r="H46" i="5"/>
  <c r="B46" i="5"/>
  <c r="F46" i="5"/>
  <c r="I46" i="5"/>
  <c r="E46" i="5"/>
  <c r="P46" i="5"/>
  <c r="C46" i="5"/>
  <c r="G46" i="5"/>
  <c r="P54" i="5"/>
  <c r="I54" i="5"/>
  <c r="Q54" i="5" s="1"/>
  <c r="C54" i="5"/>
  <c r="H54" i="5"/>
  <c r="F54" i="5"/>
  <c r="D54" i="5"/>
  <c r="G54" i="5"/>
  <c r="B54" i="5"/>
  <c r="E54" i="5"/>
  <c r="J54" i="5"/>
  <c r="G31" i="5"/>
  <c r="E31" i="5"/>
  <c r="P31" i="5"/>
  <c r="I31" i="5"/>
  <c r="C31" i="5"/>
  <c r="J31" i="5"/>
  <c r="F31" i="5"/>
  <c r="H31" i="5"/>
  <c r="D31" i="5"/>
  <c r="B31" i="5"/>
  <c r="E12" i="5"/>
  <c r="F60" i="4"/>
  <c r="E60" i="4"/>
  <c r="B60" i="4"/>
  <c r="C60" i="4"/>
  <c r="J60" i="4"/>
  <c r="C33" i="4"/>
  <c r="F33" i="4"/>
  <c r="J33" i="4"/>
  <c r="E33" i="4"/>
  <c r="B33" i="4"/>
  <c r="J54" i="4"/>
  <c r="C54" i="4"/>
  <c r="F54" i="4"/>
  <c r="E54" i="4"/>
  <c r="B54" i="4"/>
  <c r="C38" i="4"/>
  <c r="F38" i="4"/>
  <c r="B38" i="4"/>
  <c r="J38" i="4"/>
  <c r="E38" i="4"/>
  <c r="C20" i="4"/>
  <c r="F20" i="4"/>
  <c r="B20" i="4"/>
  <c r="J20" i="4"/>
  <c r="E20" i="4"/>
  <c r="C14" i="5"/>
  <c r="J10" i="5"/>
  <c r="P25" i="5"/>
  <c r="I25" i="5"/>
  <c r="Q25" i="5" s="1"/>
  <c r="C25" i="5"/>
  <c r="J25" i="5"/>
  <c r="B25" i="5"/>
  <c r="G25" i="5"/>
  <c r="H25" i="5"/>
  <c r="F25" i="5"/>
  <c r="E25" i="5"/>
  <c r="D25" i="5"/>
  <c r="F58" i="4"/>
  <c r="E58" i="4"/>
  <c r="B58" i="4"/>
  <c r="C58" i="4"/>
  <c r="J58" i="4"/>
  <c r="B53" i="4"/>
  <c r="J53" i="4"/>
  <c r="F53" i="4"/>
  <c r="E53" i="4"/>
  <c r="C53" i="4"/>
  <c r="J61" i="4"/>
  <c r="B61" i="4"/>
  <c r="E61" i="4"/>
  <c r="C61" i="4"/>
  <c r="F61" i="4"/>
  <c r="F52" i="3"/>
  <c r="J20" i="3"/>
  <c r="C20" i="3"/>
  <c r="G20" i="3" s="1"/>
  <c r="B20" i="3"/>
  <c r="F20" i="3"/>
  <c r="K20" i="3" s="1"/>
  <c r="E20" i="3"/>
  <c r="C15" i="5"/>
  <c r="D15" i="5"/>
  <c r="E56" i="3"/>
  <c r="G39" i="5"/>
  <c r="E39" i="5"/>
  <c r="P39" i="5"/>
  <c r="I39" i="5"/>
  <c r="C39" i="5"/>
  <c r="B39" i="5"/>
  <c r="J39" i="5"/>
  <c r="H39" i="5"/>
  <c r="F39" i="5"/>
  <c r="D39" i="5"/>
  <c r="E47" i="4"/>
  <c r="B73" i="3"/>
  <c r="F73" i="3"/>
  <c r="K73" i="3" s="1"/>
  <c r="E73" i="3"/>
  <c r="J73" i="3"/>
  <c r="C73" i="3"/>
  <c r="F42" i="3"/>
  <c r="K42" i="3" s="1"/>
  <c r="E17" i="3"/>
  <c r="J22" i="4"/>
  <c r="B75" i="3"/>
  <c r="F75" i="3"/>
  <c r="K75" i="3" s="1"/>
  <c r="E75" i="3"/>
  <c r="C75" i="3"/>
  <c r="J75" i="3"/>
  <c r="J21" i="3"/>
  <c r="J42" i="3"/>
  <c r="D11" i="5"/>
  <c r="C29" i="3"/>
  <c r="G29" i="3" s="1"/>
  <c r="F68" i="3"/>
  <c r="B68" i="3"/>
  <c r="C68" i="3"/>
  <c r="G68" i="3" s="1"/>
  <c r="J68" i="3"/>
  <c r="E68" i="3"/>
  <c r="C31" i="4"/>
  <c r="F31" i="4"/>
  <c r="E31" i="4"/>
  <c r="B31" i="4"/>
  <c r="J31" i="4"/>
  <c r="B80" i="3"/>
  <c r="F80" i="3"/>
  <c r="K80" i="3" s="1"/>
  <c r="C80" i="3"/>
  <c r="J80" i="3"/>
  <c r="E80" i="3"/>
  <c r="B25" i="3"/>
  <c r="E40" i="4"/>
  <c r="B33" i="3"/>
  <c r="E43" i="3"/>
  <c r="B63" i="3"/>
  <c r="E57" i="3"/>
  <c r="J27" i="3"/>
  <c r="C22" i="3"/>
  <c r="G22" i="3" s="1"/>
  <c r="F45" i="3"/>
  <c r="K45" i="3" s="1"/>
  <c r="J26" i="3"/>
  <c r="F47" i="3"/>
  <c r="J51" i="3"/>
  <c r="F21" i="3"/>
  <c r="K21" i="3" s="1"/>
  <c r="B61" i="3"/>
  <c r="E55" i="3"/>
  <c r="B35" i="3"/>
  <c r="C30" i="3"/>
  <c r="G30" i="3" s="1"/>
  <c r="J11" i="3"/>
  <c r="C65" i="3"/>
  <c r="J38" i="3"/>
  <c r="B49" i="3"/>
  <c r="C39" i="3"/>
  <c r="F29" i="3"/>
  <c r="B59" i="3"/>
  <c r="F19" i="3"/>
  <c r="K19" i="3" s="1"/>
  <c r="F37" i="3"/>
  <c r="K37" i="3" s="1"/>
  <c r="B53" i="3"/>
  <c r="E18" i="3"/>
  <c r="G37" i="5"/>
  <c r="E37" i="5"/>
  <c r="P37" i="5"/>
  <c r="I37" i="5"/>
  <c r="Q37" i="5" s="1"/>
  <c r="C37" i="5"/>
  <c r="J37" i="5"/>
  <c r="F37" i="5"/>
  <c r="D37" i="5"/>
  <c r="B37" i="5"/>
  <c r="H37" i="5"/>
  <c r="F49" i="5"/>
  <c r="D49" i="5"/>
  <c r="I49" i="5"/>
  <c r="Q49" i="5" s="1"/>
  <c r="B49" i="5"/>
  <c r="G49" i="5"/>
  <c r="P49" i="5"/>
  <c r="J49" i="5"/>
  <c r="H49" i="5"/>
  <c r="C49" i="5"/>
  <c r="E49" i="5"/>
  <c r="F51" i="5"/>
  <c r="J51" i="5"/>
  <c r="C51" i="5"/>
  <c r="P51" i="5"/>
  <c r="H51" i="5"/>
  <c r="E51" i="5"/>
  <c r="G51" i="5"/>
  <c r="D51" i="5"/>
  <c r="I51" i="5"/>
  <c r="Q51" i="5" s="1"/>
  <c r="B51" i="5"/>
  <c r="F26" i="5"/>
  <c r="I26" i="5"/>
  <c r="Q26" i="5" s="1"/>
  <c r="B26" i="5"/>
  <c r="G26" i="5"/>
  <c r="H26" i="5"/>
  <c r="E26" i="5"/>
  <c r="P26" i="5"/>
  <c r="D26" i="5"/>
  <c r="C26" i="5"/>
  <c r="J26" i="5"/>
  <c r="J55" i="5"/>
  <c r="D55" i="5"/>
  <c r="F55" i="5"/>
  <c r="I55" i="5"/>
  <c r="Q55" i="5" s="1"/>
  <c r="P55" i="5"/>
  <c r="G55" i="5"/>
  <c r="C55" i="5"/>
  <c r="E55" i="5"/>
  <c r="H55" i="5"/>
  <c r="B55" i="5"/>
  <c r="G29" i="5"/>
  <c r="E29" i="5"/>
  <c r="P29" i="5"/>
  <c r="I29" i="5"/>
  <c r="C29" i="5"/>
  <c r="F29" i="5"/>
  <c r="B29" i="5"/>
  <c r="J29" i="5"/>
  <c r="H29" i="5"/>
  <c r="D29" i="5"/>
  <c r="G12" i="5"/>
  <c r="J48" i="4"/>
  <c r="C48" i="4"/>
  <c r="F48" i="4"/>
  <c r="E48" i="4"/>
  <c r="B48" i="4"/>
  <c r="C30" i="4"/>
  <c r="F30" i="4"/>
  <c r="J30" i="4"/>
  <c r="E30" i="4"/>
  <c r="B30" i="4"/>
  <c r="C35" i="4"/>
  <c r="F35" i="4"/>
  <c r="B35" i="4"/>
  <c r="J35" i="4"/>
  <c r="E35" i="4"/>
  <c r="B12" i="5"/>
  <c r="C10" i="5"/>
  <c r="F20" i="5"/>
  <c r="E20" i="5"/>
  <c r="J20" i="5"/>
  <c r="C20" i="5"/>
  <c r="B20" i="5"/>
  <c r="H20" i="5"/>
  <c r="P20" i="5"/>
  <c r="G20" i="5"/>
  <c r="I20" i="5"/>
  <c r="Q20" i="5" s="1"/>
  <c r="D20" i="5"/>
  <c r="F10" i="4"/>
  <c r="J10" i="4"/>
  <c r="B10" i="4"/>
  <c r="E10" i="4"/>
  <c r="C10" i="4"/>
  <c r="J12" i="4"/>
  <c r="F12" i="4"/>
  <c r="E12" i="4"/>
  <c r="C12" i="4"/>
  <c r="B12" i="4"/>
  <c r="C9" i="4"/>
  <c r="F9" i="4"/>
  <c r="B9" i="4"/>
  <c r="J9" i="4"/>
  <c r="E9" i="4"/>
  <c r="E41" i="3"/>
  <c r="F41" i="3"/>
  <c r="K41" i="3" s="1"/>
  <c r="B41" i="3"/>
  <c r="C41" i="3"/>
  <c r="J41" i="3"/>
  <c r="J16" i="3"/>
  <c r="C16" i="3"/>
  <c r="E16" i="3"/>
  <c r="B16" i="3"/>
  <c r="F16" i="3"/>
  <c r="K16" i="3" s="1"/>
  <c r="F15" i="5"/>
  <c r="J15" i="5"/>
  <c r="K15" i="5" s="1"/>
  <c r="E54" i="3"/>
  <c r="P27" i="5"/>
  <c r="I27" i="5"/>
  <c r="C27" i="5"/>
  <c r="H27" i="5"/>
  <c r="F27" i="5"/>
  <c r="D27" i="5"/>
  <c r="B27" i="5"/>
  <c r="J27" i="5"/>
  <c r="G27" i="5"/>
  <c r="E27" i="5"/>
  <c r="F47" i="4"/>
  <c r="B67" i="3"/>
  <c r="F67" i="3"/>
  <c r="K67" i="3" s="1"/>
  <c r="E67" i="3"/>
  <c r="J67" i="3"/>
  <c r="C67" i="3"/>
  <c r="E37" i="3"/>
  <c r="E13" i="3"/>
  <c r="B22" i="4"/>
  <c r="J56" i="3"/>
  <c r="J17" i="3"/>
  <c r="J34" i="5"/>
  <c r="D34" i="5"/>
  <c r="H34" i="5"/>
  <c r="B34" i="5"/>
  <c r="F34" i="5"/>
  <c r="I34" i="5"/>
  <c r="Q34" i="5" s="1"/>
  <c r="E34" i="5"/>
  <c r="P34" i="5"/>
  <c r="G34" i="5"/>
  <c r="C34" i="5"/>
  <c r="E11" i="5"/>
  <c r="J45" i="4"/>
  <c r="C45" i="4"/>
  <c r="F45" i="4"/>
  <c r="E45" i="4"/>
  <c r="G45" i="4" s="1"/>
  <c r="B45" i="4"/>
  <c r="D45" i="4" s="1"/>
  <c r="K45" i="4" s="1"/>
  <c r="F70" i="3"/>
  <c r="K70" i="3" s="1"/>
  <c r="B70" i="3"/>
  <c r="E70" i="3"/>
  <c r="C70" i="3"/>
  <c r="J70" i="3"/>
  <c r="J25" i="4"/>
  <c r="B69" i="3"/>
  <c r="F69" i="3"/>
  <c r="K69" i="3" s="1"/>
  <c r="E69" i="3"/>
  <c r="C69" i="3"/>
  <c r="J69" i="3"/>
  <c r="B21" i="3"/>
  <c r="F40" i="4"/>
  <c r="B17" i="3"/>
  <c r="J46" i="4"/>
  <c r="E63" i="3"/>
  <c r="F57" i="3"/>
  <c r="K57" i="3" s="1"/>
  <c r="E27" i="3"/>
  <c r="J22" i="3"/>
  <c r="E45" i="3"/>
  <c r="B14" i="3"/>
  <c r="J47" i="3"/>
  <c r="F31" i="3"/>
  <c r="K31" i="3" s="1"/>
  <c r="E36" i="3"/>
  <c r="E61" i="3"/>
  <c r="F55" i="3"/>
  <c r="J35" i="3"/>
  <c r="J30" i="3"/>
  <c r="E11" i="3"/>
  <c r="J65" i="3"/>
  <c r="E42" i="3"/>
  <c r="E49" i="3"/>
  <c r="B34" i="3"/>
  <c r="F15" i="3"/>
  <c r="K15" i="3" s="1"/>
  <c r="E59" i="3"/>
  <c r="E19" i="3"/>
  <c r="F23" i="3"/>
  <c r="K23" i="3" s="1"/>
  <c r="E53" i="3"/>
  <c r="F18" i="3"/>
  <c r="K18" i="3" s="1"/>
  <c r="J42" i="5"/>
  <c r="D42" i="5"/>
  <c r="H42" i="5"/>
  <c r="B42" i="5"/>
  <c r="F42" i="5"/>
  <c r="I42" i="5"/>
  <c r="Q42" i="5" s="1"/>
  <c r="G42" i="5"/>
  <c r="E42" i="5"/>
  <c r="C42" i="5"/>
  <c r="P42" i="5"/>
  <c r="J40" i="5"/>
  <c r="D40" i="5"/>
  <c r="H40" i="5"/>
  <c r="B40" i="5"/>
  <c r="F40" i="5"/>
  <c r="I40" i="5"/>
  <c r="Q40" i="5" s="1"/>
  <c r="E40" i="5"/>
  <c r="P40" i="5"/>
  <c r="C40" i="5"/>
  <c r="G40" i="5"/>
  <c r="C39" i="4"/>
  <c r="F39" i="4"/>
  <c r="J39" i="4"/>
  <c r="E39" i="4"/>
  <c r="B39" i="4"/>
  <c r="G35" i="5"/>
  <c r="E35" i="5"/>
  <c r="P35" i="5"/>
  <c r="I35" i="5"/>
  <c r="C35" i="5"/>
  <c r="F35" i="5"/>
  <c r="B35" i="5"/>
  <c r="J35" i="5"/>
  <c r="H35" i="5"/>
  <c r="D35" i="5"/>
  <c r="P48" i="5"/>
  <c r="I48" i="5"/>
  <c r="Q48" i="5" s="1"/>
  <c r="C48" i="5"/>
  <c r="E48" i="5"/>
  <c r="J48" i="5"/>
  <c r="B48" i="5"/>
  <c r="G48" i="5"/>
  <c r="H48" i="5"/>
  <c r="F48" i="5"/>
  <c r="D48" i="5"/>
  <c r="I14" i="5"/>
  <c r="Q14" i="5" s="1"/>
  <c r="P16" i="5"/>
  <c r="H16" i="5"/>
  <c r="B16" i="5"/>
  <c r="F16" i="5"/>
  <c r="C16" i="5"/>
  <c r="J16" i="5"/>
  <c r="G16" i="5"/>
  <c r="E16" i="5"/>
  <c r="I16" i="5"/>
  <c r="D16" i="5"/>
  <c r="H12" i="5"/>
  <c r="E17" i="4"/>
  <c r="F17" i="4"/>
  <c r="C17" i="4"/>
  <c r="B17" i="4"/>
  <c r="J17" i="4"/>
  <c r="L7" i="5"/>
  <c r="K7" i="5"/>
  <c r="C27" i="4"/>
  <c r="F27" i="4"/>
  <c r="J27" i="4"/>
  <c r="E27" i="4"/>
  <c r="B27" i="4"/>
  <c r="E14" i="5"/>
  <c r="G9" i="5"/>
  <c r="G14" i="5"/>
  <c r="B14" i="5"/>
  <c r="I12" i="5"/>
  <c r="Q12" i="5" s="1"/>
  <c r="D10" i="5"/>
  <c r="P14" i="5"/>
  <c r="J9" i="5"/>
  <c r="K9" i="5" s="1"/>
  <c r="C32" i="4"/>
  <c r="F32" i="4"/>
  <c r="B32" i="4"/>
  <c r="J32" i="4"/>
  <c r="E32" i="4"/>
  <c r="E10" i="5"/>
  <c r="I10" i="5"/>
  <c r="Q10" i="5" s="1"/>
  <c r="I9" i="5"/>
  <c r="Q9" i="5" s="1"/>
  <c r="E18" i="4"/>
  <c r="B18" i="4"/>
  <c r="F18" i="4"/>
  <c r="J18" i="4"/>
  <c r="C18" i="4"/>
  <c r="C11" i="4"/>
  <c r="B11" i="4"/>
  <c r="J11" i="4"/>
  <c r="F11" i="4"/>
  <c r="E11" i="4"/>
  <c r="C13" i="4"/>
  <c r="F13" i="4"/>
  <c r="E13" i="4"/>
  <c r="B13" i="4"/>
  <c r="J13" i="4"/>
  <c r="J59" i="4"/>
  <c r="B59" i="4"/>
  <c r="E59" i="4"/>
  <c r="F59" i="4"/>
  <c r="C59" i="4"/>
  <c r="J40" i="3"/>
  <c r="C40" i="3"/>
  <c r="G40" i="3" s="1"/>
  <c r="E40" i="3"/>
  <c r="F40" i="3"/>
  <c r="B40" i="3"/>
  <c r="J12" i="3"/>
  <c r="C12" i="3"/>
  <c r="G12" i="3" s="1"/>
  <c r="B12" i="3"/>
  <c r="F12" i="3"/>
  <c r="E12" i="3"/>
  <c r="G15" i="5"/>
  <c r="F12" i="5"/>
  <c r="J50" i="3"/>
  <c r="C50" i="3"/>
  <c r="B50" i="3"/>
  <c r="F50" i="3"/>
  <c r="E50" i="3"/>
  <c r="P21" i="5"/>
  <c r="I21" i="5"/>
  <c r="Q21" i="5" s="1"/>
  <c r="C21" i="5"/>
  <c r="E21" i="5"/>
  <c r="J21" i="5"/>
  <c r="B21" i="5"/>
  <c r="G21" i="5"/>
  <c r="F21" i="5"/>
  <c r="H21" i="5"/>
  <c r="D21" i="5"/>
  <c r="J47" i="4"/>
  <c r="C54" i="3"/>
  <c r="G54" i="3" s="1"/>
  <c r="E33" i="3"/>
  <c r="F10" i="3"/>
  <c r="K10" i="3" s="1"/>
  <c r="E22" i="4"/>
  <c r="J52" i="3"/>
  <c r="C10" i="3"/>
  <c r="J28" i="5"/>
  <c r="D28" i="5"/>
  <c r="F28" i="5"/>
  <c r="I28" i="5"/>
  <c r="G28" i="5"/>
  <c r="H28" i="5"/>
  <c r="E28" i="5"/>
  <c r="C28" i="5"/>
  <c r="P28" i="5"/>
  <c r="B28" i="5"/>
  <c r="H11" i="5"/>
  <c r="J46" i="3"/>
  <c r="C46" i="3"/>
  <c r="F46" i="3"/>
  <c r="K46" i="3" s="1"/>
  <c r="E46" i="3"/>
  <c r="B46" i="3"/>
  <c r="C21" i="3"/>
  <c r="F72" i="3"/>
  <c r="K72" i="3" s="1"/>
  <c r="B72" i="3"/>
  <c r="J72" i="3"/>
  <c r="E72" i="3"/>
  <c r="C72" i="3"/>
  <c r="G72" i="3" s="1"/>
  <c r="B25" i="4"/>
  <c r="J54" i="3"/>
  <c r="B64" i="3"/>
  <c r="F64" i="3"/>
  <c r="K64" i="3" s="1"/>
  <c r="E64" i="3"/>
  <c r="C64" i="3"/>
  <c r="J64" i="3"/>
  <c r="C40" i="4"/>
  <c r="J13" i="3"/>
  <c r="C46" i="4"/>
  <c r="F63" i="3"/>
  <c r="K63" i="3" s="1"/>
  <c r="C57" i="3"/>
  <c r="C27" i="3"/>
  <c r="G27" i="3" s="1"/>
  <c r="F17" i="3"/>
  <c r="B26" i="3"/>
  <c r="E14" i="3"/>
  <c r="B47" i="3"/>
  <c r="E31" i="3"/>
  <c r="F36" i="3"/>
  <c r="K36" i="3" s="1"/>
  <c r="F61" i="3"/>
  <c r="K61" i="3" s="1"/>
  <c r="C55" i="3"/>
  <c r="G55" i="3" s="1"/>
  <c r="C35" i="3"/>
  <c r="G35" i="3" s="1"/>
  <c r="F25" i="3"/>
  <c r="K25" i="3" s="1"/>
  <c r="B10" i="3"/>
  <c r="B38" i="3"/>
  <c r="F13" i="3"/>
  <c r="K13" i="3" s="1"/>
  <c r="E39" i="3"/>
  <c r="E34" i="3"/>
  <c r="E15" i="3"/>
  <c r="F59" i="3"/>
  <c r="K59" i="3" s="1"/>
  <c r="B19" i="3"/>
  <c r="B23" i="3"/>
  <c r="F53" i="3"/>
  <c r="C18" i="3"/>
  <c r="G18" i="3" s="1"/>
  <c r="C15" i="2"/>
  <c r="E15" i="2" s="1"/>
  <c r="C9" i="2"/>
  <c r="C14" i="2"/>
  <c r="C11" i="2"/>
  <c r="C16" i="2"/>
  <c r="C13" i="2"/>
  <c r="C10" i="2"/>
  <c r="C12" i="2"/>
  <c r="J44" i="5"/>
  <c r="D44" i="5"/>
  <c r="H44" i="5"/>
  <c r="B44" i="5"/>
  <c r="F44" i="5"/>
  <c r="E44" i="5"/>
  <c r="P44" i="5"/>
  <c r="I44" i="5"/>
  <c r="Q44" i="5" s="1"/>
  <c r="G44" i="5"/>
  <c r="C44" i="5"/>
  <c r="F22" i="5"/>
  <c r="D22" i="5"/>
  <c r="I22" i="5"/>
  <c r="B22" i="5"/>
  <c r="C22" i="5"/>
  <c r="J22" i="5"/>
  <c r="H22" i="5"/>
  <c r="G22" i="5"/>
  <c r="E22" i="5"/>
  <c r="P22" i="5"/>
  <c r="G45" i="5"/>
  <c r="E45" i="5"/>
  <c r="P45" i="5"/>
  <c r="I45" i="5"/>
  <c r="C45" i="5"/>
  <c r="B45" i="5"/>
  <c r="J45" i="5"/>
  <c r="H45" i="5"/>
  <c r="F45" i="5"/>
  <c r="D45" i="5"/>
  <c r="G8" i="5"/>
  <c r="I8" i="5"/>
  <c r="B8" i="5"/>
  <c r="H8" i="5"/>
  <c r="E8" i="5"/>
  <c r="D8" i="5"/>
  <c r="C8" i="5"/>
  <c r="P8" i="5"/>
  <c r="J8" i="5"/>
  <c r="K8" i="5" s="1"/>
  <c r="F8" i="5"/>
  <c r="P52" i="5"/>
  <c r="I52" i="5"/>
  <c r="Q52" i="5" s="1"/>
  <c r="C52" i="5"/>
  <c r="J52" i="5"/>
  <c r="B52" i="5"/>
  <c r="G52" i="5"/>
  <c r="E52" i="5"/>
  <c r="H52" i="5"/>
  <c r="D52" i="5"/>
  <c r="F52" i="5"/>
  <c r="H14" i="5"/>
  <c r="P12" i="5"/>
  <c r="E14" i="4"/>
  <c r="F14" i="4"/>
  <c r="C14" i="4"/>
  <c r="B14" i="4"/>
  <c r="J14" i="4"/>
  <c r="J51" i="4"/>
  <c r="C51" i="4"/>
  <c r="F51" i="4"/>
  <c r="E51" i="4"/>
  <c r="B51" i="4"/>
  <c r="C24" i="4"/>
  <c r="F24" i="4"/>
  <c r="J24" i="4"/>
  <c r="E24" i="4"/>
  <c r="B24" i="4"/>
  <c r="P23" i="5"/>
  <c r="I23" i="5"/>
  <c r="Q23" i="5" s="1"/>
  <c r="C23" i="5"/>
  <c r="D23" i="5"/>
  <c r="H23" i="5"/>
  <c r="J23" i="5"/>
  <c r="G23" i="5"/>
  <c r="F23" i="5"/>
  <c r="E23" i="5"/>
  <c r="B23" i="5"/>
  <c r="C29" i="4"/>
  <c r="F29" i="4"/>
  <c r="B29" i="4"/>
  <c r="J29" i="4"/>
  <c r="E29" i="4"/>
  <c r="F10" i="5"/>
  <c r="F43" i="4"/>
  <c r="E43" i="4"/>
  <c r="B43" i="4"/>
  <c r="C43" i="4"/>
  <c r="J43" i="4"/>
  <c r="F55" i="4"/>
  <c r="E55" i="4"/>
  <c r="G55" i="4" s="1"/>
  <c r="B55" i="4"/>
  <c r="C55" i="4"/>
  <c r="J55" i="4"/>
  <c r="C16" i="4"/>
  <c r="F16" i="4"/>
  <c r="E16" i="4"/>
  <c r="B16" i="4"/>
  <c r="J16" i="4"/>
  <c r="B71" i="3"/>
  <c r="F71" i="3"/>
  <c r="K71" i="3" s="1"/>
  <c r="E71" i="3"/>
  <c r="C71" i="3"/>
  <c r="J71" i="3"/>
  <c r="J32" i="3"/>
  <c r="C32" i="3"/>
  <c r="G32" i="3" s="1"/>
  <c r="B32" i="3"/>
  <c r="F32" i="3"/>
  <c r="E32" i="3"/>
  <c r="B52" i="3"/>
  <c r="B15" i="5"/>
  <c r="F62" i="4"/>
  <c r="J62" i="4"/>
  <c r="C62" i="4"/>
  <c r="B62" i="4"/>
  <c r="E62" i="4"/>
  <c r="F43" i="3"/>
  <c r="K43" i="3" s="1"/>
  <c r="G41" i="5"/>
  <c r="E41" i="5"/>
  <c r="P41" i="5"/>
  <c r="I41" i="5"/>
  <c r="C41" i="5"/>
  <c r="F41" i="5"/>
  <c r="B41" i="5"/>
  <c r="D41" i="5"/>
  <c r="J41" i="5"/>
  <c r="H41" i="5"/>
  <c r="B47" i="4"/>
  <c r="C52" i="3"/>
  <c r="G52" i="3" s="1"/>
  <c r="E29" i="3"/>
  <c r="J9" i="3"/>
  <c r="F22" i="4"/>
  <c r="B42" i="3"/>
  <c r="B62" i="3"/>
  <c r="F62" i="3"/>
  <c r="E62" i="3"/>
  <c r="C62" i="3"/>
  <c r="G62" i="3" s="1"/>
  <c r="J62" i="3"/>
  <c r="C11" i="5"/>
  <c r="P11" i="5"/>
  <c r="B43" i="3"/>
  <c r="C17" i="3"/>
  <c r="G17" i="3" s="1"/>
  <c r="F74" i="3"/>
  <c r="K74" i="3" s="1"/>
  <c r="B74" i="3"/>
  <c r="C74" i="3"/>
  <c r="J74" i="3"/>
  <c r="E74" i="3"/>
  <c r="E25" i="4"/>
  <c r="J44" i="3"/>
  <c r="C44" i="3"/>
  <c r="G44" i="3" s="1"/>
  <c r="F44" i="3"/>
  <c r="E44" i="3"/>
  <c r="B44" i="3"/>
  <c r="B54" i="3"/>
  <c r="J43" i="3"/>
  <c r="B13" i="3"/>
  <c r="C63" i="3"/>
  <c r="J57" i="3"/>
  <c r="B22" i="3"/>
  <c r="J45" i="3"/>
  <c r="E26" i="3"/>
  <c r="F14" i="3"/>
  <c r="K14" i="3" s="1"/>
  <c r="C47" i="3"/>
  <c r="G47" i="3" s="1"/>
  <c r="B31" i="3"/>
  <c r="B36" i="3"/>
  <c r="C61" i="3"/>
  <c r="G61" i="3" s="1"/>
  <c r="J55" i="3"/>
  <c r="B30" i="3"/>
  <c r="B11" i="3"/>
  <c r="B65" i="3"/>
  <c r="E38" i="3"/>
  <c r="C49" i="3"/>
  <c r="G49" i="3" s="1"/>
  <c r="F39" i="3"/>
  <c r="K39" i="3" s="1"/>
  <c r="F34" i="3"/>
  <c r="K34" i="3" s="1"/>
  <c r="B15" i="3"/>
  <c r="C59" i="3"/>
  <c r="J19" i="3"/>
  <c r="J23" i="3"/>
  <c r="C53" i="3"/>
  <c r="G53" i="3" s="1"/>
  <c r="P38" i="4" l="1"/>
  <c r="G38" i="4"/>
  <c r="G54" i="4"/>
  <c r="G13" i="3"/>
  <c r="K13" i="5"/>
  <c r="G15" i="3"/>
  <c r="M37" i="4"/>
  <c r="D37" i="4"/>
  <c r="G28" i="4"/>
  <c r="P28" i="4"/>
  <c r="D19" i="4"/>
  <c r="K19" i="4" s="1"/>
  <c r="B10" i="2"/>
  <c r="M23" i="4"/>
  <c r="D23" i="4"/>
  <c r="M36" i="4"/>
  <c r="D36" i="4"/>
  <c r="K12" i="5"/>
  <c r="L36" i="5"/>
  <c r="K36" i="5"/>
  <c r="G34" i="3"/>
  <c r="G14" i="3"/>
  <c r="G46" i="4"/>
  <c r="D53" i="4"/>
  <c r="L25" i="5"/>
  <c r="K25" i="5"/>
  <c r="P20" i="4"/>
  <c r="G20" i="4"/>
  <c r="G60" i="4"/>
  <c r="F15" i="2"/>
  <c r="K31" i="5"/>
  <c r="L31" i="5"/>
  <c r="K54" i="5"/>
  <c r="L54" i="5"/>
  <c r="K14" i="5"/>
  <c r="G37" i="3"/>
  <c r="D49" i="4"/>
  <c r="K49" i="4" s="1"/>
  <c r="Q18" i="5"/>
  <c r="L38" i="5"/>
  <c r="K38" i="5"/>
  <c r="K30" i="3"/>
  <c r="G37" i="4"/>
  <c r="P37" i="4"/>
  <c r="K11" i="5"/>
  <c r="K24" i="3"/>
  <c r="G50" i="4"/>
  <c r="D52" i="4"/>
  <c r="G36" i="4"/>
  <c r="P36" i="4"/>
  <c r="Q36" i="5"/>
  <c r="K79" i="3"/>
  <c r="C24" i="2"/>
  <c r="D56" i="4"/>
  <c r="M21" i="4"/>
  <c r="D21" i="4"/>
  <c r="K21" i="4" s="1"/>
  <c r="Q24" i="5"/>
  <c r="D59" i="4"/>
  <c r="K59" i="4" s="1"/>
  <c r="B14" i="2"/>
  <c r="M27" i="4"/>
  <c r="D27" i="4"/>
  <c r="K27" i="4" s="1"/>
  <c r="D9" i="4"/>
  <c r="B7" i="2"/>
  <c r="L20" i="5"/>
  <c r="K20" i="5"/>
  <c r="C18" i="2"/>
  <c r="E16" i="2"/>
  <c r="G46" i="3"/>
  <c r="L28" i="5"/>
  <c r="K28" i="5"/>
  <c r="G59" i="4"/>
  <c r="F14" i="2"/>
  <c r="H14" i="2" s="1"/>
  <c r="M32" i="4"/>
  <c r="D32" i="4"/>
  <c r="G27" i="4"/>
  <c r="P27" i="4"/>
  <c r="M35" i="4"/>
  <c r="D35" i="4"/>
  <c r="M31" i="4"/>
  <c r="D31" i="4"/>
  <c r="K39" i="5"/>
  <c r="L39" i="5"/>
  <c r="K62" i="3"/>
  <c r="M29" i="4"/>
  <c r="D29" i="4"/>
  <c r="K29" i="4" s="1"/>
  <c r="L52" i="5"/>
  <c r="K52" i="5"/>
  <c r="Q8" i="5"/>
  <c r="C17" i="2"/>
  <c r="K17" i="3"/>
  <c r="G10" i="3"/>
  <c r="L21" i="5"/>
  <c r="K21" i="5"/>
  <c r="K50" i="3"/>
  <c r="C22" i="2"/>
  <c r="I3" i="3"/>
  <c r="K40" i="3"/>
  <c r="Q16" i="5"/>
  <c r="M39" i="4"/>
  <c r="D39" i="4"/>
  <c r="L42" i="5"/>
  <c r="K42" i="5"/>
  <c r="G69" i="3"/>
  <c r="G70" i="3"/>
  <c r="D12" i="4"/>
  <c r="B8" i="2"/>
  <c r="K29" i="3"/>
  <c r="K47" i="3"/>
  <c r="G31" i="4"/>
  <c r="P31" i="4"/>
  <c r="G59" i="3"/>
  <c r="D47" i="4"/>
  <c r="D55" i="4"/>
  <c r="K55" i="4" s="1"/>
  <c r="K23" i="5"/>
  <c r="L23" i="5"/>
  <c r="M24" i="4"/>
  <c r="D24" i="4"/>
  <c r="Q22" i="5"/>
  <c r="L44" i="5"/>
  <c r="K44" i="5"/>
  <c r="E14" i="2"/>
  <c r="M25" i="4"/>
  <c r="D25" i="4"/>
  <c r="G21" i="3"/>
  <c r="K12" i="3"/>
  <c r="D18" i="4"/>
  <c r="K18" i="4" s="1"/>
  <c r="B9" i="2"/>
  <c r="G39" i="4"/>
  <c r="P39" i="4"/>
  <c r="L34" i="5"/>
  <c r="K34" i="5"/>
  <c r="G67" i="3"/>
  <c r="D48" i="4"/>
  <c r="Q29" i="5"/>
  <c r="K37" i="5"/>
  <c r="L37" i="5"/>
  <c r="G39" i="3"/>
  <c r="G80" i="3"/>
  <c r="K68" i="3"/>
  <c r="G75" i="3"/>
  <c r="G47" i="4"/>
  <c r="M38" i="4"/>
  <c r="D38" i="4"/>
  <c r="K38" i="4" s="1"/>
  <c r="L46" i="5"/>
  <c r="K46" i="5"/>
  <c r="G49" i="4"/>
  <c r="D44" i="4"/>
  <c r="M40" i="4"/>
  <c r="D40" i="4"/>
  <c r="K40" i="4" s="1"/>
  <c r="G42" i="3"/>
  <c r="G52" i="4"/>
  <c r="L32" i="5"/>
  <c r="K32" i="5"/>
  <c r="K49" i="3"/>
  <c r="G21" i="4"/>
  <c r="P21" i="4"/>
  <c r="L24" i="5"/>
  <c r="K24" i="5"/>
  <c r="L22" i="5"/>
  <c r="K22" i="5"/>
  <c r="M22" i="4"/>
  <c r="D22" i="4"/>
  <c r="K22" i="4" s="1"/>
  <c r="G65" i="3"/>
  <c r="B23" i="2"/>
  <c r="G25" i="4"/>
  <c r="P25" i="4"/>
  <c r="G62" i="4"/>
  <c r="F16" i="2"/>
  <c r="D43" i="4"/>
  <c r="B12" i="2"/>
  <c r="K45" i="5"/>
  <c r="L45" i="5"/>
  <c r="K53" i="3"/>
  <c r="G63" i="3"/>
  <c r="K44" i="3"/>
  <c r="G74" i="3"/>
  <c r="Q41" i="5"/>
  <c r="G71" i="3"/>
  <c r="G43" i="4"/>
  <c r="F12" i="2"/>
  <c r="H12" i="2" s="1"/>
  <c r="G24" i="4"/>
  <c r="P24" i="4"/>
  <c r="G51" i="4"/>
  <c r="F13" i="2"/>
  <c r="Q45" i="5"/>
  <c r="E12" i="2"/>
  <c r="E9" i="2"/>
  <c r="G57" i="3"/>
  <c r="G64" i="3"/>
  <c r="Q28" i="5"/>
  <c r="G22" i="4"/>
  <c r="P22" i="4"/>
  <c r="I2" i="3"/>
  <c r="B22" i="2"/>
  <c r="D22" i="2" s="1"/>
  <c r="G50" i="3"/>
  <c r="Q35" i="5"/>
  <c r="L40" i="5"/>
  <c r="K40" i="5"/>
  <c r="K55" i="3"/>
  <c r="G41" i="3"/>
  <c r="G12" i="4"/>
  <c r="F8" i="2"/>
  <c r="H8" i="2" s="1"/>
  <c r="M30" i="4"/>
  <c r="D30" i="4"/>
  <c r="K30" i="4" s="1"/>
  <c r="G48" i="4"/>
  <c r="L55" i="5"/>
  <c r="K55" i="5"/>
  <c r="L49" i="5"/>
  <c r="K49" i="5"/>
  <c r="G73" i="3"/>
  <c r="Q39" i="5"/>
  <c r="K52" i="3"/>
  <c r="M20" i="4"/>
  <c r="D20" i="4"/>
  <c r="K20" i="4" s="1"/>
  <c r="Q31" i="5"/>
  <c r="Q46" i="5"/>
  <c r="K48" i="3"/>
  <c r="Q50" i="5"/>
  <c r="G28" i="3"/>
  <c r="P26" i="4"/>
  <c r="G26" i="4"/>
  <c r="G23" i="3"/>
  <c r="G45" i="3"/>
  <c r="G60" i="3"/>
  <c r="D41" i="4"/>
  <c r="M41" i="4"/>
  <c r="G57" i="4"/>
  <c r="G19" i="3"/>
  <c r="K38" i="3"/>
  <c r="G36" i="3"/>
  <c r="G56" i="4"/>
  <c r="P29" i="4"/>
  <c r="G29" i="4"/>
  <c r="K35" i="5"/>
  <c r="L35" i="5"/>
  <c r="K41" i="5"/>
  <c r="L41" i="5"/>
  <c r="D62" i="4"/>
  <c r="B16" i="2"/>
  <c r="K32" i="3"/>
  <c r="D51" i="4"/>
  <c r="K51" i="4" s="1"/>
  <c r="B13" i="2"/>
  <c r="G18" i="4"/>
  <c r="F9" i="2"/>
  <c r="H9" i="2" s="1"/>
  <c r="P32" i="4"/>
  <c r="G32" i="4"/>
  <c r="L16" i="5"/>
  <c r="K16" i="5"/>
  <c r="L48" i="5"/>
  <c r="K48" i="5"/>
  <c r="L27" i="5"/>
  <c r="K27" i="5"/>
  <c r="Q27" i="5"/>
  <c r="G16" i="3"/>
  <c r="G9" i="4"/>
  <c r="F7" i="2"/>
  <c r="H7" i="2" s="1"/>
  <c r="P35" i="4"/>
  <c r="G35" i="4"/>
  <c r="G30" i="4"/>
  <c r="P30" i="4"/>
  <c r="K29" i="5"/>
  <c r="L29" i="5"/>
  <c r="L26" i="5"/>
  <c r="K26" i="5"/>
  <c r="L51" i="5"/>
  <c r="K51" i="5"/>
  <c r="G40" i="4"/>
  <c r="P40" i="4"/>
  <c r="G53" i="4"/>
  <c r="D58" i="4"/>
  <c r="M33" i="4"/>
  <c r="D33" i="4"/>
  <c r="K33" i="4" s="1"/>
  <c r="D60" i="4"/>
  <c r="K60" i="4" s="1"/>
  <c r="B15" i="2"/>
  <c r="L53" i="5"/>
  <c r="K53" i="5"/>
  <c r="M34" i="4"/>
  <c r="D34" i="4"/>
  <c r="K50" i="5"/>
  <c r="L50" i="5"/>
  <c r="K22" i="3"/>
  <c r="G43" i="3"/>
  <c r="D50" i="4"/>
  <c r="K50" i="4" s="1"/>
  <c r="G19" i="4"/>
  <c r="F10" i="2"/>
  <c r="P41" i="4"/>
  <c r="G41" i="4"/>
  <c r="P23" i="4"/>
  <c r="G23" i="4"/>
  <c r="D57" i="4"/>
  <c r="K47" i="5"/>
  <c r="L47" i="5"/>
  <c r="K43" i="5"/>
  <c r="L43" i="5"/>
  <c r="K27" i="3"/>
  <c r="G42" i="4"/>
  <c r="F11" i="2"/>
  <c r="G25" i="3"/>
  <c r="G58" i="4"/>
  <c r="L10" i="5"/>
  <c r="K10" i="5"/>
  <c r="D54" i="4"/>
  <c r="K54" i="4" s="1"/>
  <c r="G33" i="4"/>
  <c r="P33" i="4"/>
  <c r="L30" i="5"/>
  <c r="K30" i="5"/>
  <c r="G34" i="4"/>
  <c r="P34" i="4"/>
  <c r="L17" i="5"/>
  <c r="K17" i="5"/>
  <c r="Q17" i="5"/>
  <c r="G44" i="4"/>
  <c r="M26" i="4"/>
  <c r="D26" i="4"/>
  <c r="L18" i="5"/>
  <c r="K18" i="5"/>
  <c r="C23" i="2"/>
  <c r="K65" i="3"/>
  <c r="G31" i="3"/>
  <c r="G33" i="3"/>
  <c r="M28" i="4"/>
  <c r="D28" i="4"/>
  <c r="K28" i="4" s="1"/>
  <c r="K19" i="5"/>
  <c r="L19" i="5"/>
  <c r="Q15" i="5"/>
  <c r="K54" i="3"/>
  <c r="K33" i="5"/>
  <c r="L33" i="5"/>
  <c r="K11" i="3"/>
  <c r="G58" i="3"/>
  <c r="G79" i="3"/>
  <c r="B24" i="2"/>
  <c r="D24" i="2" s="1"/>
  <c r="D42" i="4"/>
  <c r="B11" i="2"/>
  <c r="D46" i="4"/>
  <c r="K46" i="4" s="1"/>
  <c r="G10" i="2" l="1"/>
  <c r="D10" i="2"/>
  <c r="G11" i="2"/>
  <c r="B17" i="2"/>
  <c r="D11" i="2"/>
  <c r="H15" i="2"/>
  <c r="K53" i="4"/>
  <c r="K42" i="4"/>
  <c r="H11" i="2"/>
  <c r="F17" i="2"/>
  <c r="H10" i="2"/>
  <c r="K62" i="4"/>
  <c r="H13" i="2"/>
  <c r="K47" i="4"/>
  <c r="D8" i="2"/>
  <c r="G8" i="2"/>
  <c r="E8" i="2"/>
  <c r="K39" i="4"/>
  <c r="E11" i="2"/>
  <c r="D14" i="2"/>
  <c r="G14" i="2"/>
  <c r="K56" i="4"/>
  <c r="K52" i="4"/>
  <c r="K36" i="4"/>
  <c r="C25" i="2"/>
  <c r="E23" i="2"/>
  <c r="F18" i="2"/>
  <c r="H16" i="2"/>
  <c r="G15" i="2"/>
  <c r="D15" i="2"/>
  <c r="G16" i="2"/>
  <c r="D16" i="2"/>
  <c r="B18" i="2"/>
  <c r="E22" i="2"/>
  <c r="K35" i="4"/>
  <c r="K26" i="4"/>
  <c r="K57" i="4"/>
  <c r="K34" i="4"/>
  <c r="E10" i="2"/>
  <c r="K41" i="4"/>
  <c r="K44" i="4"/>
  <c r="K25" i="4"/>
  <c r="K24" i="4"/>
  <c r="K12" i="4"/>
  <c r="E24" i="2"/>
  <c r="D13" i="2"/>
  <c r="G13" i="2"/>
  <c r="D12" i="2"/>
  <c r="G12" i="2"/>
  <c r="D23" i="2"/>
  <c r="B25" i="2"/>
  <c r="E7" i="2"/>
  <c r="D7" i="2"/>
  <c r="G7" i="2"/>
  <c r="E13" i="2"/>
  <c r="K23" i="4"/>
  <c r="K37" i="4"/>
  <c r="K58" i="4"/>
  <c r="K43" i="4"/>
  <c r="K48" i="4"/>
  <c r="D9" i="2"/>
  <c r="G9" i="2"/>
  <c r="K31" i="4"/>
  <c r="K32" i="4"/>
  <c r="K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<sst xmlns="http://schemas.openxmlformats.org/spreadsheetml/2006/main" count="649" uniqueCount="318">
  <si>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</si>
  <si>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</si>
  <si>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</si>
  <si>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</si>
  <si>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</si>
  <si>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</si>
  <si>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</si>
  <si>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</si>
  <si>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</si>
  <si>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</si>
  <si>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</si>
  <si>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</si>
  <si>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</si>
  <si>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전기 대비 (2025년 연간)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</si>
  <si>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</si>
  <si>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</si>
  <si>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</si>
  <si>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</si>
  <si>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</si>
  <si>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</si>
  <si>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</si>
  <si>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</si>
  <si>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</si>
  <si>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</si>
  <si>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</si>
  <si>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</si>
  <si>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</si>
  <si>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</si>
  <si>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</si>
  <si>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</si>
  <si>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</si>
  <si>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</si>
  <si>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</si>
  <si>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</si>
  <si>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</si>
  <si>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</si>
  <si>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</si>
  <si>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</si>
  <si>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</si>
  <si>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전년동기(1~7월) 영업외비용에 법인세추납액 3,800만원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</si>
  <si>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</si>
  <si>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</si>
  <si>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</si>
  <si>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</si>
  <si>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</si>
  <si>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</si>
  <si>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</si>
  <si>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</si>
  <si>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</si>
  <si>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</si>
  <si>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</si>
  <si>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</si>
  <si>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</si>
  <si>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</si>
  <si>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</si>
  <si>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</si>
  <si>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</si>
  <si>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</si>
  <si>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</si>
  <si>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</si>
  <si>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</si>
  <si>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</si>
  <si>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</si>
  <si>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단기채권외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</si>
  <si>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</si>
  <si>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</si>
  <si>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</si>
  <si>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</si>
  <si>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</si>
  <si>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</si>
  <si>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</si>
  <si>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</si>
  <si>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</si>
  <si>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</si>
  <si>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</si>
  <si>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</si>
  <si>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</si>
  <si>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</si>
  <si>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</si>
  <si>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</si>
  <si>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</si>
  <si>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</si>
  <si>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</si>
  <si>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</si>
  <si>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</si>
  <si>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</si>
  <si>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</si>
  <si>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</si>
  <si>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</si>
  <si>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</si>
  <si>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</si>
  <si>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</si>
  <si>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</si>
  <si>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</si>
  <si>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</si>
  <si>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</si>
  <si>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</si>
  <si>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</si>
  <si>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</si>
  <si>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</si>
  <si>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</si>
  <si>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</si>
  <si>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</si>
  <si>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</si>
  <si>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한국엡손외(연말 결산시 반영)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</si>
  <si>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</si>
  <si>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</si>
  <si>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</si>
  <si>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</si>
  <si>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</si>
  <si>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</si>
  <si>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</si>
  <si>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</si>
  <si>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</si>
  <si>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</si>
  <si>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</si>
  <si>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</si>
  <si>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</si>
  <si>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</si>
  <si>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</si>
  <si>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</si>
  <si>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</si>
  <si>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</si>
  <si>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</si>
  <si>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</si>
  <si>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</si>
  <si>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</si>
  <si>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</si>
  <si>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</si>
  <si>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</si>
  <si>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</si>
  <si>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</si>
  <si>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</si>
  <si>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</si>
  <si>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</si>
  <si>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</si>
  <si>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</si>
  <si>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</si>
  <si>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</si>
  <si>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</si>
  <si>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</si>
  <si>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</si>
  <si>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</si>
  <si>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잡              급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</si>
  <si>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</si>
  <si>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</si>
  <si>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</si>
  <si>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</si>
  <si>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</si>
  <si>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</si>
  <si>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</si>
  <si>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</si>
  <si>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</si>
  <si>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</si>
  <si>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</si>
  <si>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</si>
  <si>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</si>
  <si>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</si>
  <si>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</si>
  <si>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</si>
  <si>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</si>
  <si>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</si>
  <si>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</si>
  <si>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</si>
  <si>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</si>
  <si>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</si>
  <si>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</si>
  <si>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</si>
  <si>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</si>
  <si>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</si>
  <si>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</si>
  <si>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</si>
  <si>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</si>
  <si>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</si>
  <si>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</si>
  <si>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</si>
  <si>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</si>
  <si>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</si>
  <si>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</si>
  <si>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</si>
  <si>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</si>
  <si>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</si>
  <si>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</si>
  <si>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</si>
  <si>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</si>
  <si>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</si>
  <si>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</si>
  <si>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</si>
  <si>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</si>
  <si>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</si>
  <si>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</si>
  <si>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</si>
  <si>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</si>
  <si>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</si>
  <si>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6월: 총36명, 7월: 총36명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</si>
  <si>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</si>
  <si>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</si>
  <si>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</si>
  <si>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</si>
  <si>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</si>
  <si>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</si>
  <si>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</si>
  <si>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</si>
  <si>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</si>
  <si>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</si>
  <si>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</si>
  <si>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</si>
  <si>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</si>
  <si>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</si>
  <si>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차량렌트료(6대), 기타외</t>
  </si>
  <si>
    <t>대손금 충당액</t>
  </si>
  <si>
    <t>수출입통관</t>
  </si>
  <si>
    <t>단기금융상품 이자수익</t>
  </si>
  <si>
    <t>단기대여금이자(윤인희)외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</si>
  <si>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</si>
  <si>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</si>
  <si>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</si>
  <si>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</si>
  <si>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</si>
  <si>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</si>
  <si>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</si>
  <si>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</si>
  <si>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</si>
  <si>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</si>
  <si>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</si>
  <si>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</si>
  <si>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</si>
  <si>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</si>
  <si>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</si>
  <si>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</si>
  <si>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</si>
  <si>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</si>
  <si>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</si>
  <si>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</si>
  <si>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</si>
  <si>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</si>
  <si>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</si>
  <si>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</si>
  <si>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</si>
  <si>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</si>
  <si>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</si>
  <si>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</si>
  <si>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</si>
  <si>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</si>
  <si>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</si>
  <si>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</si>
  <si>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</si>
  <si>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</si>
  <si>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</si>
  <si>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</si>
  <si>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</si>
  <si>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</si>
  <si>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</si>
  <si>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</si>
  <si>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</si>
  <si>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</si>
  <si>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</si>
  <si>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</si>
  <si>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</si>
  <si>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</si>
  <si>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</si>
  <si>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</si>
  <si>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</si>
  <si>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</si>
  <si>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</si>
  <si>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</si>
  <si>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</si>
  <si>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</si>
  <si>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</si>
  <si>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</si>
  <si>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</si>
  <si>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</si>
  <si>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</si>
  <si>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</si>
  <si>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</si>
  <si>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</si>
  <si>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</si>
  <si>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</si>
  <si>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</si>
  <si>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</si>
  <si>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</si>
  <si>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</si>
  <si>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</si>
  <si>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</si>
  <si>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</si>
  <si>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</si>
  <si>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</si>
  <si>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</si>
  <si>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</si>
  <si>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</si>
  <si>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</si>
  <si>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</si>
  <si>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</si>
  <si>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</si>
  <si>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</si>
  <si>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</si>
  <si>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</si>
  <si>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</si>
  <si>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</si>
  <si>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</si>
  <si>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</si>
  <si>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</si>
  <si>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</si>
  <si>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</si>
  <si>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</si>
  <si>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</si>
  <si>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</si>
  <si>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</si>
  <si>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</si>
  <si>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</si>
  <si>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</si>
  <si>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>7월</t>
  </si>
  <si>
    <t>8월</t>
  </si>
  <si>
    <t>9월</t>
  </si>
  <si>
    <t>10월</t>
  </si>
  <si>
    <t>11월</t>
  </si>
  <si>
    <t>12월</t>
  </si>
  <si>
    <t xml:space="preserve">      유형자산 처분 이익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</si>
</sst>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3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  <font>
      <b/>
      <sz val="14"/>
      <color rgb="FFFFFFFF"/>
      <name val="Noto Sans CJK SC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8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178" fontId="40" fillId="0" borderId="0" xfId="0" applyNumberFormat="1" applyFont="1"/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" xfId="0" applyBorder="1"/>
    <xf numFmtId="0" fontId="0" fillId="0" borderId="31" xfId="0" applyBorder="1"/>
    <xf numFmtId="0" fontId="10" fillId="0" borderId="1" xfId="0" applyFont="1" applyBorder="1" applyAlignment="1">
      <alignment horizontal="left" vertical="center"/>
    </xf>
    <xf numFmtId="0" fontId="0" fillId="0" borderId="32" xfId="0" applyBorder="1"/>
    <xf numFmtId="0" fontId="0" fillId="0" borderId="23" xfId="0" applyBorder="1"/>
    <xf numFmtId="0" fontId="9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  <xf numFmtId="0" fontId="42" fillId="2" borderId="0" xfId="0" applyFont="1" applyFill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25" fillId="0" borderId="0" xfId="0" applyFont="1" applyAlignment="1">
      <alignment vertical="center"/>
    </xf>
    <xf numFmtId="0" fontId="15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24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12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  <c:pt idx="6">
                  <c:v>2306642756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1-45CA-923F-EBBEDAB5C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12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  <c:pt idx="6">
                  <c:v>166909868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B1-45CA-923F-EBBEDAB5C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abSelected="1" topLeftCell="A4" zoomScaleNormal="100" workbookViewId="0">
      <selection activeCell="B7" sqref="B7:H7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35" t="str">
        <f>TEXT($K$1,"yyyy")&amp;"년 1월~"&amp;MONTH($K$1)&amp;"월 월차 결산서 [ ㈜ 창현 ]"</f>
        <v>2026년 1월~7월 월차 결산서 [ ㈜ 창현 ]</v>
      </c>
      <c r="B1" s="136"/>
      <c r="C1" s="136"/>
      <c r="D1" s="136"/>
      <c r="E1" s="136"/>
      <c r="F1" s="136"/>
      <c r="G1" s="136"/>
      <c r="H1" s="136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8" t="s">
        <v>2</v>
      </c>
      <c r="B3" s="136"/>
      <c r="C3" s="136"/>
      <c r="D3" s="136"/>
      <c r="E3" s="136"/>
      <c r="F3" s="136"/>
      <c r="G3" s="136"/>
      <c r="H3" s="136"/>
    </row>
    <row r="4" spans="1:13" ht="34.5" customHeight="1"/>
    <row r="5" spans="1:13" ht="40.5" customHeight="1">
      <c r="A5" s="7" t="s">
        <v>3</v>
      </c>
      <c r="B5" s="137" t="s">
        <v>4</v>
      </c>
      <c r="C5" s="132"/>
      <c r="D5" s="132"/>
      <c r="E5" s="132"/>
      <c r="F5" s="132"/>
      <c r="G5" s="132"/>
      <c r="H5" s="133"/>
    </row>
    <row r="6" spans="1:13" ht="43.5" customHeight="1">
      <c r="A6" s="8">
        <v>1</v>
      </c>
      <c r="B6" s="134" t="s">
        <v>5</v>
      </c>
      <c r="C6" s="132"/>
      <c r="D6" s="132"/>
      <c r="E6" s="132"/>
      <c r="F6" s="132"/>
      <c r="G6" s="132"/>
      <c r="H6" s="133"/>
    </row>
    <row r="7" spans="1:13" ht="43.5" customHeight="1">
      <c r="A7" s="9">
        <v>2</v>
      </c>
      <c r="B7" s="131" t="str">
        <f>"재무상태표 ["&amp;TEXT($K$1,"yyyy")&amp;"년"&amp;TEXT(MONTH($K$1),"00")&amp;"월"&amp;TEXT(DAY($K$1),"00")&amp;"일"&amp;" 현재]"</f>
        <v>재무상태표 [2026년07월31일 현재]</v>
      </c>
      <c r="C7" s="132"/>
      <c r="D7" s="132"/>
      <c r="E7" s="132"/>
      <c r="F7" s="132"/>
      <c r="G7" s="132"/>
      <c r="H7" s="133"/>
    </row>
    <row r="8" spans="1:13" ht="43.5" customHeight="1">
      <c r="A8" s="8">
        <v>3</v>
      </c>
      <c r="B8" s="134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32"/>
      <c r="D8" s="132"/>
      <c r="E8" s="132"/>
      <c r="F8" s="132"/>
      <c r="G8" s="132"/>
      <c r="H8" s="133"/>
    </row>
    <row r="9" spans="1:13" ht="43.5" customHeight="1">
      <c r="A9" s="9">
        <v>4</v>
      </c>
      <c r="B9" s="131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32"/>
      <c r="D9" s="132"/>
      <c r="E9" s="132"/>
      <c r="F9" s="132"/>
      <c r="G9" s="132"/>
      <c r="H9" s="133"/>
    </row>
    <row r="10" spans="1:13" ht="43.5" customHeight="1">
      <c r="A10" s="8">
        <v>5</v>
      </c>
      <c r="B10" s="139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32"/>
      <c r="D10" s="132"/>
      <c r="E10" s="132"/>
      <c r="F10" s="132"/>
      <c r="G10" s="132"/>
      <c r="H10" s="133"/>
    </row>
    <row r="11" spans="1:13" ht="43.5" customHeight="1">
      <c r="A11" s="9">
        <v>6</v>
      </c>
      <c r="B11" s="140" t="str">
        <f>TEXT($K$1,"yyyy")&amp;"년 차량별 비용현황[연간누계/월별/당월상세]"</f>
        <v>2026년 차량별 비용현황[연간누계/월별/당월상세]</v>
      </c>
      <c r="C11" s="132"/>
      <c r="D11" s="132"/>
      <c r="E11" s="132"/>
      <c r="F11" s="132"/>
      <c r="G11" s="132"/>
      <c r="H11" s="133"/>
    </row>
    <row r="12" spans="1:13" ht="43.5" customHeight="1">
      <c r="A12" s="8">
        <v>7</v>
      </c>
      <c r="B12" s="139" t="str">
        <f>TEXT($K$1,"yyyy")&amp;"년 운송비 개인별 비용"</f>
        <v>2026년 운송비 개인별 비용</v>
      </c>
      <c r="C12" s="132"/>
      <c r="D12" s="132"/>
      <c r="E12" s="132"/>
      <c r="F12" s="132"/>
      <c r="G12" s="132"/>
      <c r="H12" s="133"/>
    </row>
    <row r="13" spans="1:13" ht="18" customHeight="1"/>
    <row r="14" spans="1:13" ht="32.25" customHeight="1"/>
    <row r="15" spans="1:13" ht="9.75" customHeight="1">
      <c r="D15" s="141" t="s">
        <v>6</v>
      </c>
      <c r="E15" s="127" t="s">
        <v>7</v>
      </c>
      <c r="F15" s="127" t="s">
        <v>8</v>
      </c>
      <c r="G15" s="127" t="s">
        <v>9</v>
      </c>
      <c r="H15" s="127" t="s">
        <v>10</v>
      </c>
    </row>
    <row r="16" spans="1:13" ht="27.75" customHeight="1">
      <c r="D16" s="130"/>
      <c r="E16" s="128"/>
      <c r="F16" s="128"/>
      <c r="G16" s="128"/>
      <c r="H16" s="128"/>
    </row>
    <row r="17" spans="4:8" ht="21" customHeight="1">
      <c r="D17" s="130"/>
      <c r="E17" s="129"/>
      <c r="F17" s="129"/>
      <c r="G17" s="129"/>
      <c r="H17" s="129"/>
    </row>
    <row r="18" spans="4:8" ht="21" customHeight="1">
      <c r="D18" s="130"/>
      <c r="E18" s="130"/>
      <c r="F18" s="130"/>
      <c r="G18" s="130"/>
      <c r="H18" s="130"/>
    </row>
    <row r="19" spans="4:8" ht="15" customHeight="1">
      <c r="D19" s="10"/>
      <c r="E19" s="10"/>
      <c r="F19" s="10"/>
      <c r="G19" s="10"/>
      <c r="H19" s="10"/>
    </row>
  </sheetData>
  <mergeCells count="19"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  <mergeCell ref="G17:G18"/>
    <mergeCell ref="B9:H9"/>
    <mergeCell ref="B6:H6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scale="97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31" zoomScaleNormal="100" workbookViewId="0">
      <selection activeCell="F38" sqref="F38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9" t="s">
        <v>11</v>
      </c>
      <c r="B1" s="136"/>
      <c r="C1" s="136"/>
      <c r="D1" s="136"/>
      <c r="E1" s="136"/>
      <c r="F1" s="136"/>
      <c r="G1" s="136"/>
      <c r="H1" s="136"/>
    </row>
    <row r="2" spans="1:8" ht="22.5" customHeight="1">
      <c r="A2" s="147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36"/>
      <c r="C2" s="136"/>
      <c r="D2" s="136"/>
      <c r="E2" s="136"/>
      <c r="F2" s="136"/>
      <c r="G2" s="136"/>
      <c r="H2" s="136"/>
    </row>
    <row r="3" spans="1:8" ht="18.75" customHeight="1"/>
    <row r="4" spans="1:8" ht="15" customHeight="1">
      <c r="A4" s="11" t="s">
        <v>12</v>
      </c>
    </row>
    <row r="5" spans="1:8" ht="16.5" customHeight="1">
      <c r="A5" s="142" t="s">
        <v>4</v>
      </c>
      <c r="B5" s="148" t="str">
        <f>"전년동기 대비 ("&amp;(YEAR(인덱스!$K$1)-1)&amp;"년 1~"&amp;MONTH(인덱스!$K$1)&amp;"월)"</f>
        <v>전년동기 대비 (2025년 1~7월)</v>
      </c>
      <c r="C5" s="145"/>
      <c r="D5" s="145"/>
      <c r="E5" s="146"/>
      <c r="F5" s="144" t="s">
        <v>13</v>
      </c>
      <c r="G5" s="145"/>
      <c r="H5" s="146"/>
    </row>
    <row r="6" spans="1:8" ht="18" customHeight="1">
      <c r="A6" s="128"/>
      <c r="B6" s="12" t="str">
        <f>"당기(1~"&amp;MONTH(인덱스!$K$1)&amp;"월)"</f>
        <v>당기(1~7월)</v>
      </c>
      <c r="C6" s="13" t="str">
        <f>"전년동기(1~"&amp;MONTH(인덱스!$K$1)&amp;"월)"</f>
        <v>전년동기(1~7월)</v>
      </c>
      <c r="D6" s="14" t="s">
        <v>14</v>
      </c>
      <c r="E6" s="15" t="s">
        <v>15</v>
      </c>
      <c r="F6" s="16" t="s">
        <v>16</v>
      </c>
      <c r="G6" s="14" t="s">
        <v>14</v>
      </c>
      <c r="H6" s="15" t="s">
        <v>15</v>
      </c>
    </row>
    <row r="7" spans="1:8" ht="16.5" customHeight="1">
      <c r="A7" s="17" t="s">
        <v>17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18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19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20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21</v>
      </c>
      <c r="B11" s="26">
        <f>'매출액대비 비율분석'!C42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비율분석'!F42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22</v>
      </c>
      <c r="B12" s="22">
        <f>'매출액대비 비율분석'!C43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비율분석'!F43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23</v>
      </c>
      <c r="B13" s="22">
        <f>'매출액대비 비율분석'!C51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비율분석'!F51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24</v>
      </c>
      <c r="B14" s="26">
        <f>'매출액대비 비율분석'!C59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비율분석'!F59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25</v>
      </c>
      <c r="B15" s="22">
        <f>'매출액대비 비율분석'!C60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비율분석'!F60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26</v>
      </c>
      <c r="B16" s="26">
        <f>'매출액대비 비율분석'!C62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비율분석'!F62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27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28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29</v>
      </c>
    </row>
    <row r="21" spans="1:8" ht="30" customHeight="1">
      <c r="A21" s="39" t="s">
        <v>4</v>
      </c>
      <c r="B21" s="40" t="s">
        <v>30</v>
      </c>
      <c r="C21" s="41" t="s">
        <v>31</v>
      </c>
      <c r="D21" s="42" t="s">
        <v>14</v>
      </c>
      <c r="E21" s="41" t="s">
        <v>15</v>
      </c>
    </row>
    <row r="22" spans="1:8" ht="16.5" customHeight="1">
      <c r="A22" s="43" t="s">
        <v>32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33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34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35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36</v>
      </c>
    </row>
    <row r="28" spans="1:8" ht="30" customHeight="1">
      <c r="A28" s="1" t="s">
        <v>37</v>
      </c>
      <c r="B28" s="42" t="s">
        <v>17</v>
      </c>
      <c r="C28" s="41" t="s">
        <v>21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IF(1&lt;=MONTH(인덱스!$K$1),INDEX(기간별손익계산서!$C:$N,2,1),NA())</f>
        <v>2735381647</v>
      </c>
      <c r="C29" s="54">
        <f>IF(1&lt;=MONTH(인덱스!$K$1),INDEX(기간별손익계산서!$C:$N,30,1),NA())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IF(2&lt;=MONTH(인덱스!$K$1),INDEX(기간별손익계산서!$C:$N,2,2),NA())</f>
        <v>2447781972</v>
      </c>
      <c r="C30" s="56">
        <f>IF(2&lt;=MONTH(인덱스!$K$1),INDEX(기간별손익계산서!$C:$N,30,2),NA())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IF(3&lt;=MONTH(인덱스!$K$1),INDEX(기간별손익계산서!$C:$N,2,3),NA())</f>
        <v>4328182055</v>
      </c>
      <c r="C31" s="56">
        <f>IF(3&lt;=MONTH(인덱스!$K$1),INDEX(기간별손익계산서!$C:$N,30,3),NA())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IF(4&lt;=MONTH(인덱스!$K$1),INDEX(기간별손익계산서!$C:$N,2,4),NA())</f>
        <v>4152427518</v>
      </c>
      <c r="C32" s="56">
        <f>IF(4&lt;=MONTH(인덱스!$K$1),INDEX(기간별손익계산서!$C:$N,30,4),NA())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IF(5&lt;=MONTH(인덱스!$K$1),INDEX(기간별손익계산서!$C:$N,2,5),NA())</f>
        <v>2755697515</v>
      </c>
      <c r="C33" s="56">
        <f>IF(5&lt;=MONTH(인덱스!$K$1),INDEX(기간별손익계산서!$C:$N,30,5),NA())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IF(6&lt;=MONTH(인덱스!$K$1),INDEX(기간별손익계산서!$C:$N,2,6),NA())</f>
        <v>2793851873</v>
      </c>
      <c r="C34" s="56">
        <f>IF(6&lt;=MONTH(인덱스!$K$1),INDEX(기간별손익계산서!$C:$N,30,6),NA())</f>
        <v>151504066</v>
      </c>
    </row>
    <row r="35" spans="1:3" ht="15" customHeight="1">
      <c r="A35" s="55" t="str">
        <f>IFERROR(MONTH(DATE(YEAR(인덱스!$K$1),7,1))&amp;"월","")</f>
        <v>7월</v>
      </c>
      <c r="B35" s="22">
        <f>IF(7&lt;=MONTH(인덱스!$K$1),INDEX(기간별손익계산서!$C:$N,2,7),NA())</f>
        <v>2306642756</v>
      </c>
      <c r="C35" s="56">
        <f>IF(7&lt;=MONTH(인덱스!$K$1),INDEX(기간별손익계산서!$C:$N,30,7),NA())</f>
        <v>166909868</v>
      </c>
    </row>
    <row r="36" spans="1:3" ht="15" customHeight="1">
      <c r="A36" s="55" t="str">
        <f>IFERROR(MONTH(DATE(YEAR(인덱스!$K$1),8,1))&amp;"월","")</f>
        <v>8월</v>
      </c>
      <c r="B36" s="22" t="e">
        <f>IF(8&lt;=MONTH(인덱스!$K$1),INDEX(기간별손익계산서!$C:$N,2,8),NA())</f>
        <v>#N/A</v>
      </c>
      <c r="C36" s="56" t="e">
        <f>IF(8&lt;=MONTH(인덱스!$K$1),INDEX(기간별손익계산서!$C:$N,30,8),NA())</f>
        <v>#N/A</v>
      </c>
    </row>
    <row r="37" spans="1:3" ht="15" customHeight="1">
      <c r="A37" s="55" t="str">
        <f>IFERROR(MONTH(DATE(YEAR(인덱스!$K$1),9,1))&amp;"월","")</f>
        <v>9월</v>
      </c>
      <c r="B37" s="22" t="e">
        <f>IF(9&lt;=MONTH(인덱스!$K$1),INDEX(기간별손익계산서!$C:$N,2,9),NA())</f>
        <v>#N/A</v>
      </c>
      <c r="C37" s="56" t="e">
        <f>IF(9&lt;=MONTH(인덱스!$K$1),INDEX(기간별손익계산서!$C:$N,30,9),NA())</f>
        <v>#N/A</v>
      </c>
    </row>
    <row r="38" spans="1:3" ht="15" customHeight="1">
      <c r="A38" s="55" t="str">
        <f>IFERROR(MONTH(DATE(YEAR(인덱스!$K$1),10,1))&amp;"월","")</f>
        <v>10월</v>
      </c>
      <c r="B38" s="22" t="e">
        <f>IF(10&lt;=MONTH(인덱스!$K$1),INDEX(기간별손익계산서!$C:$N,2,10),NA())</f>
        <v>#N/A</v>
      </c>
      <c r="C38" s="56" t="e">
        <f>IF(10&lt;=MONTH(인덱스!$K$1),INDEX(기간별손익계산서!$C:$N,30,10),NA())</f>
        <v>#N/A</v>
      </c>
    </row>
    <row r="39" spans="1:3" ht="15" customHeight="1">
      <c r="A39" s="55" t="str">
        <f>IFERROR(MONTH(DATE(YEAR(인덱스!$K$1),11,1))&amp;"월","")</f>
        <v>11월</v>
      </c>
      <c r="B39" s="22" t="e">
        <f>IF(11&lt;=MONTH(인덱스!$K$1),INDEX(기간별손익계산서!$C:$N,2,11),NA())</f>
        <v>#N/A</v>
      </c>
      <c r="C39" s="56" t="e">
        <f>IF(11&lt;=MONTH(인덱스!$K$1),INDEX(기간별손익계산서!$C:$N,30,11),NA())</f>
        <v>#N/A</v>
      </c>
    </row>
    <row r="40" spans="1:3" ht="15" customHeight="1">
      <c r="A40" s="55" t="str">
        <f>IFERROR(MONTH(DATE(YEAR(인덱스!$K$1),12,1))&amp;"월","")</f>
        <v>12월</v>
      </c>
      <c r="B40" s="22" t="e">
        <f>IF(12&lt;=MONTH(인덱스!$K$1),INDEX(기간별손익계산서!$C:$N,2,12),NA())</f>
        <v>#N/A</v>
      </c>
      <c r="C40" s="56" t="e">
        <f>IF(12&lt;=MONTH(인덱스!$K$1),INDEX(기간별손익계산서!$C:$N,30,12),NA())</f>
        <v>#N/A</v>
      </c>
    </row>
    <row r="41" spans="1:3" ht="16.5" customHeight="1">
      <c r="A41" s="57" t="s">
        <v>38</v>
      </c>
      <c r="B41" s="58">
        <f>_xlfn.AGGREGATE(9,6,B29:B40)</f>
        <v>21519965336</v>
      </c>
      <c r="C41" s="59">
        <f>_xlfn.AGGREGATE(9,6,C29:C40)</f>
        <v>1708056234</v>
      </c>
    </row>
    <row r="67" spans="1:8" ht="3.75" customHeight="1"/>
    <row r="68" spans="1:8" ht="27.75" customHeight="1"/>
    <row r="69" spans="1:8" ht="60" customHeight="1">
      <c r="A69" s="143" t="s">
        <v>39</v>
      </c>
      <c r="B69" s="136"/>
      <c r="C69" s="136"/>
      <c r="D69" s="136"/>
      <c r="E69" s="136"/>
      <c r="F69" s="136"/>
      <c r="G69" s="136"/>
      <c r="H69" s="136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B29:C40">
    <cfRule type="expression" dxfId="23" priority="8">
      <formula>ISERROR(B29)</formula>
    </cfRule>
  </conditionalFormatting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scale="64" orientation="portrait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zoomScaleNormal="100" workbookViewId="0">
      <selection sqref="A1:G1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50" t="s">
        <v>40</v>
      </c>
      <c r="B1" s="136"/>
      <c r="C1" s="136"/>
      <c r="D1" s="136"/>
      <c r="E1" s="136"/>
      <c r="F1" s="136"/>
      <c r="G1" s="136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2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36"/>
      <c r="C3" s="136"/>
      <c r="D3" s="136"/>
      <c r="E3" s="136"/>
      <c r="F3" s="136"/>
      <c r="G3" s="136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2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36"/>
      <c r="C4" s="136"/>
      <c r="D4" s="136"/>
      <c r="E4" s="136"/>
      <c r="F4" s="136"/>
      <c r="G4" s="136"/>
      <c r="H4" s="5"/>
    </row>
    <row r="5" spans="1:11" ht="12.75" customHeight="1"/>
    <row r="6" spans="1:11" ht="11.25" customHeight="1">
      <c r="A6" s="63" t="s">
        <v>41</v>
      </c>
      <c r="G6" s="64" t="s">
        <v>42</v>
      </c>
    </row>
    <row r="7" spans="1:11" ht="18.75" customHeight="1">
      <c r="A7" s="151" t="s">
        <v>43</v>
      </c>
      <c r="B7" s="151" t="s">
        <v>44</v>
      </c>
      <c r="C7" s="133"/>
      <c r="D7" s="151" t="s">
        <v>45</v>
      </c>
      <c r="E7" s="151" t="s">
        <v>46</v>
      </c>
      <c r="F7" s="133"/>
      <c r="G7" s="151" t="s">
        <v>47</v>
      </c>
      <c r="J7" s="66" t="s">
        <v>48</v>
      </c>
      <c r="K7" s="66" t="s">
        <v>15</v>
      </c>
    </row>
    <row r="8" spans="1:11" ht="18.75" customHeight="1">
      <c r="A8" s="153"/>
      <c r="B8" s="151" t="s">
        <v>49</v>
      </c>
      <c r="C8" s="133"/>
      <c r="D8" s="153"/>
      <c r="E8" s="151" t="s">
        <v>50</v>
      </c>
      <c r="F8" s="133"/>
      <c r="G8" s="153"/>
    </row>
    <row r="9" spans="1:11" ht="17.25" customHeight="1">
      <c r="A9" s="67" t="s">
        <v>51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52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53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54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55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56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57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58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59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60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59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61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62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63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64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65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66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67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68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69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70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71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72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73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74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75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76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77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78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79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80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81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82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83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84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83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85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83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86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83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87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88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89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59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90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91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92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93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94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95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96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97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98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99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100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101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102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103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104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105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106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107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108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109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110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111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112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113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114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115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116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117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118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119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120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121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122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123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124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125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126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verticalDpi="300" r:id="rId1"/>
  <headerFooter>
    <oddFooter>&amp;C&amp;P/2</oddFooter>
  </headerFooter>
  <rowBreaks count="1" manualBreakCount="1">
    <brk id="61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2"/>
  <sheetViews>
    <sheetView zoomScaleNormal="100" workbookViewId="0">
      <selection activeCell="D7" sqref="D7:D8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50" t="s">
        <v>127</v>
      </c>
      <c r="B1" s="136"/>
      <c r="C1" s="136"/>
      <c r="D1" s="136"/>
      <c r="E1" s="136"/>
      <c r="F1" s="136"/>
      <c r="G1" s="136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2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4"/>
      <c r="C3" s="154"/>
      <c r="D3" s="154"/>
      <c r="E3" s="154"/>
      <c r="F3" s="154"/>
      <c r="G3" s="154"/>
    </row>
    <row r="4" spans="1:11" s="5" customFormat="1" ht="15.75" customHeight="1">
      <c r="A4" s="152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4"/>
      <c r="C4" s="154"/>
      <c r="D4" s="154"/>
      <c r="E4" s="154"/>
      <c r="F4" s="154"/>
      <c r="G4" s="154"/>
    </row>
    <row r="5" spans="1:11" ht="9" customHeight="1">
      <c r="C5" s="63"/>
    </row>
    <row r="6" spans="1:11" ht="11.25" customHeight="1">
      <c r="A6" s="63" t="s">
        <v>41</v>
      </c>
      <c r="G6" s="64" t="s">
        <v>42</v>
      </c>
    </row>
    <row r="7" spans="1:11" ht="15.75" customHeight="1">
      <c r="A7" s="151" t="s">
        <v>43</v>
      </c>
      <c r="B7" s="151" t="s">
        <v>44</v>
      </c>
      <c r="C7" s="133"/>
      <c r="D7" s="155" t="s">
        <v>128</v>
      </c>
      <c r="E7" s="151" t="s">
        <v>46</v>
      </c>
      <c r="F7" s="133"/>
      <c r="G7" s="155" t="s">
        <v>128</v>
      </c>
      <c r="J7" s="66" t="s">
        <v>48</v>
      </c>
      <c r="K7" s="66" t="s">
        <v>129</v>
      </c>
    </row>
    <row r="8" spans="1:11" ht="15.75" customHeight="1">
      <c r="A8" s="153"/>
      <c r="B8" s="151" t="s">
        <v>49</v>
      </c>
      <c r="C8" s="133"/>
      <c r="D8" s="153"/>
      <c r="E8" s="151" t="s">
        <v>50</v>
      </c>
      <c r="F8" s="133"/>
      <c r="G8" s="153"/>
    </row>
    <row r="9" spans="1:11" ht="16.5" customHeight="1">
      <c r="A9" s="74" t="s">
        <v>130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131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132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133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134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135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136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137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138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139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140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141</v>
      </c>
    </row>
    <row r="20" spans="1:16" ht="16.5" customHeight="1">
      <c r="A20" s="67" t="s">
        <v>142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1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1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1" si="4">(B20/$C$19)</f>
        <v>0.56908571260968632</v>
      </c>
      <c r="P20" s="98">
        <f t="shared" ref="P20:P41" si="5">(E20/$F$19)</f>
        <v>0.48012734476894842</v>
      </c>
    </row>
    <row r="21" spans="1:16" ht="16.5" customHeight="1">
      <c r="A21" s="67" t="s">
        <v>143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0</v>
      </c>
      <c r="F21" s="95">
        <f>IFERROR(INDEX(손익계산서!$E:$E,MATCH($I21,손익계산서!$G:$G,0)),0)</f>
        <v>0</v>
      </c>
      <c r="G21" s="96">
        <f t="shared" si="3"/>
        <v>0</v>
      </c>
      <c r="H21" t="str">
        <f t="shared" si="0"/>
        <v>잡급</v>
      </c>
      <c r="I21" t="str">
        <f>H21&amp;"|"&amp;COUNTIF($H$9:H21,H21)</f>
        <v>잡급|1</v>
      </c>
      <c r="J21" s="93" t="str">
        <f>IF($A21="","",IF(ISNUMBER(MATCH($I21,손익계산서!$G:$G,0)),"✓ 일치","⚠ 확인필요"))</f>
        <v>⚠ 확인필요</v>
      </c>
      <c r="K21" s="126">
        <f t="shared" si="1"/>
        <v>0</v>
      </c>
      <c r="M21" s="98">
        <f t="shared" si="4"/>
        <v>0</v>
      </c>
      <c r="P21" s="98">
        <f t="shared" si="5"/>
        <v>0</v>
      </c>
    </row>
    <row r="22" spans="1:16" ht="16.5" customHeight="1">
      <c r="A22" s="67" t="s">
        <v>144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551800000</v>
      </c>
      <c r="F22" s="95">
        <f>IFERROR(INDEX(손익계산서!$E:$E,MATCH($I22,손익계산서!$G:$G,0)),0)</f>
        <v>0</v>
      </c>
      <c r="G22" s="96">
        <f t="shared" si="3"/>
        <v>1.5430771605593677E-2</v>
      </c>
      <c r="H22" t="str">
        <f t="shared" si="0"/>
        <v>상여금</v>
      </c>
      <c r="I22" t="str">
        <f>H22&amp;"|"&amp;COUNTIF($H$9:H22,H22)</f>
        <v>상여금|1</v>
      </c>
      <c r="J22" s="93" t="str">
        <f>IF($A22="","",IF(ISNUMBER(MATCH($I22,손익계산서!$G:$G,0)),"✓ 일치","⚠ 확인필요"))</f>
        <v>✓ 일치</v>
      </c>
      <c r="K22" s="94">
        <f t="shared" si="1"/>
        <v>-1.5430771605593677E-2</v>
      </c>
      <c r="M22" s="99">
        <f t="shared" si="4"/>
        <v>0</v>
      </c>
      <c r="P22" s="98">
        <f t="shared" si="5"/>
        <v>0.1285889827086763</v>
      </c>
    </row>
    <row r="23" spans="1:16" ht="16.5" customHeight="1">
      <c r="A23" s="67" t="s">
        <v>145</v>
      </c>
      <c r="B23" s="95">
        <f>IFERROR(INDEX(손익계산서!$B:$B,MATCH($I23,손익계산서!$G:$G,0)),0)</f>
        <v>0</v>
      </c>
      <c r="C23" s="95">
        <f>IFERROR(INDEX(손익계산서!$C:$C,MATCH($I23,손익계산서!$G:$G,0)),0)</f>
        <v>0</v>
      </c>
      <c r="D23" s="96">
        <f t="shared" si="2"/>
        <v>0</v>
      </c>
      <c r="E23" s="95">
        <f>IFERROR(INDEX(손익계산서!$D:$D,MATCH($I23,손익계산서!$G:$G,0)),0)</f>
        <v>12096500</v>
      </c>
      <c r="F23" s="95">
        <f>IFERROR(INDEX(손익계산서!$E:$E,MATCH($I23,손익계산서!$G:$G,0)),0)</f>
        <v>0</v>
      </c>
      <c r="G23" s="96">
        <f t="shared" si="3"/>
        <v>3.382717084578904E-4</v>
      </c>
      <c r="H23" t="str">
        <f t="shared" si="0"/>
        <v>연차수당</v>
      </c>
      <c r="I23" t="str">
        <f>H23&amp;"|"&amp;COUNTIF($H$9:H23,H23)</f>
        <v>연차수당|1</v>
      </c>
      <c r="J23" s="93" t="str">
        <f>IF($A23="","",IF(ISNUMBER(MATCH($I23,손익계산서!$G:$G,0)),"✓ 일치","⚠ 확인필요"))</f>
        <v>✓ 일치</v>
      </c>
      <c r="K23" s="94">
        <f t="shared" si="1"/>
        <v>-3.382717084578904E-4</v>
      </c>
      <c r="M23" s="99">
        <f t="shared" si="4"/>
        <v>0</v>
      </c>
      <c r="P23" s="100">
        <f t="shared" si="5"/>
        <v>2.8189137900244709E-3</v>
      </c>
    </row>
    <row r="24" spans="1:16" ht="16.5" customHeight="1">
      <c r="A24" s="67" t="s">
        <v>146</v>
      </c>
      <c r="B24" s="95">
        <f>IFERROR(INDEX(손익계산서!$B:$B,MATCH($I24,손익계산서!$G:$G,0)),0)</f>
        <v>88091340</v>
      </c>
      <c r="C24" s="95">
        <f>IFERROR(INDEX(손익계산서!$C:$C,MATCH($I24,손익계산서!$G:$G,0)),0)</f>
        <v>0</v>
      </c>
      <c r="D24" s="96">
        <f t="shared" si="2"/>
        <v>4.0934703483297471E-3</v>
      </c>
      <c r="E24" s="95">
        <f>IFERROR(INDEX(손익계산서!$D:$D,MATCH($I24,손익계산서!$G:$G,0)),0)</f>
        <v>305951630</v>
      </c>
      <c r="F24" s="95">
        <f>IFERROR(INDEX(손익계산서!$E:$E,MATCH($I24,손익계산서!$G:$G,0)),0)</f>
        <v>0</v>
      </c>
      <c r="G24" s="96">
        <f t="shared" si="3"/>
        <v>8.5557624590233833E-3</v>
      </c>
      <c r="H24" t="str">
        <f t="shared" si="0"/>
        <v>퇴직급여</v>
      </c>
      <c r="I24" t="str">
        <f>H24&amp;"|"&amp;COUNTIF($H$9:H24,H24)</f>
        <v>퇴직급여|1</v>
      </c>
      <c r="J24" s="93" t="str">
        <f>IF($A24="","",IF(ISNUMBER(MATCH($I24,손익계산서!$G:$G,0)),"✓ 일치","⚠ 확인필요"))</f>
        <v>✓ 일치</v>
      </c>
      <c r="K24" s="94">
        <f t="shared" si="1"/>
        <v>-4.4622921106936362E-3</v>
      </c>
      <c r="M24" s="99">
        <f t="shared" si="4"/>
        <v>4.0762345529799647E-2</v>
      </c>
      <c r="P24" s="98">
        <f t="shared" si="5"/>
        <v>7.129758764001691E-2</v>
      </c>
    </row>
    <row r="25" spans="1:16" ht="16.5" customHeight="1">
      <c r="A25" s="67" t="s">
        <v>147</v>
      </c>
      <c r="B25" s="95">
        <f>IFERROR(INDEX(손익계산서!$B:$B,MATCH($I25,손익계산서!$G:$G,0)),0)</f>
        <v>110546776</v>
      </c>
      <c r="C25" s="95">
        <f>IFERROR(INDEX(손익계산서!$C:$C,MATCH($I25,손익계산서!$G:$G,0)),0)</f>
        <v>0</v>
      </c>
      <c r="D25" s="96">
        <f t="shared" si="2"/>
        <v>5.1369402447442678E-3</v>
      </c>
      <c r="E25" s="95">
        <f>IFERROR(INDEX(손익계산서!$D:$D,MATCH($I25,손익계산서!$G:$G,0)),0)</f>
        <v>173366229</v>
      </c>
      <c r="F25" s="95">
        <f>IFERROR(INDEX(손익계산서!$E:$E,MATCH($I25,손익계산서!$G:$G,0)),0)</f>
        <v>0</v>
      </c>
      <c r="G25" s="96">
        <f t="shared" si="3"/>
        <v>4.848087502395888E-3</v>
      </c>
      <c r="H25" t="str">
        <f t="shared" si="0"/>
        <v>복리후생비</v>
      </c>
      <c r="I25" t="str">
        <f>H25&amp;"|"&amp;COUNTIF($H$9:H25,H25)</f>
        <v>복리후생비|1</v>
      </c>
      <c r="J25" s="93" t="str">
        <f>IF($A25="","",IF(ISNUMBER(MATCH($I25,손익계산서!$G:$G,0)),"✓ 일치","⚠ 확인필요"))</f>
        <v>✓ 일치</v>
      </c>
      <c r="K25" s="94">
        <f t="shared" si="1"/>
        <v>2.8885274234837985E-4</v>
      </c>
      <c r="M25" s="99">
        <f t="shared" si="4"/>
        <v>5.1153108586126206E-2</v>
      </c>
      <c r="P25" s="100">
        <f t="shared" si="5"/>
        <v>4.0400483912920296E-2</v>
      </c>
    </row>
    <row r="26" spans="1:16" ht="16.5" customHeight="1">
      <c r="A26" s="67" t="s">
        <v>148</v>
      </c>
      <c r="B26" s="95">
        <f>IFERROR(INDEX(손익계산서!$B:$B,MATCH($I26,손익계산서!$G:$G,0)),0)</f>
        <v>7859988</v>
      </c>
      <c r="C26" s="95">
        <f>IFERROR(INDEX(손익계산서!$C:$C,MATCH($I26,손익계산서!$G:$G,0)),0)</f>
        <v>0</v>
      </c>
      <c r="D26" s="96">
        <f t="shared" si="2"/>
        <v>3.652416663911303E-4</v>
      </c>
      <c r="E26" s="95">
        <f>IFERROR(INDEX(손익계산서!$D:$D,MATCH($I26,손익계산서!$G:$G,0)),0)</f>
        <v>8300248</v>
      </c>
      <c r="F26" s="95">
        <f>IFERROR(INDEX(손익계산서!$E:$E,MATCH($I26,손익계산서!$G:$G,0)),0)</f>
        <v>0</v>
      </c>
      <c r="G26" s="96">
        <f t="shared" si="3"/>
        <v>2.3211169111595815E-4</v>
      </c>
      <c r="H26" t="str">
        <f t="shared" si="0"/>
        <v>여비교통비</v>
      </c>
      <c r="I26" t="str">
        <f>H26&amp;"|"&amp;COUNTIF($H$9:H26,H26)</f>
        <v>여비교통비|1</v>
      </c>
      <c r="J26" s="93" t="str">
        <f>IF($A26="","",IF(ISNUMBER(MATCH($I26,손익계산서!$G:$G,0)),"✓ 일치","⚠ 확인필요"))</f>
        <v>✓ 일치</v>
      </c>
      <c r="K26" s="94">
        <f t="shared" si="1"/>
        <v>1.3312997527517215E-4</v>
      </c>
      <c r="M26" s="99">
        <f t="shared" si="4"/>
        <v>3.6370379507915176E-3</v>
      </c>
      <c r="P26" s="100">
        <f t="shared" si="5"/>
        <v>1.9342523496732968E-3</v>
      </c>
    </row>
    <row r="27" spans="1:16" ht="16.5" customHeight="1">
      <c r="A27" s="67" t="s">
        <v>149</v>
      </c>
      <c r="B27" s="95">
        <f>IFERROR(INDEX(손익계산서!$B:$B,MATCH($I27,손익계산서!$G:$G,0)),0)</f>
        <v>43323349</v>
      </c>
      <c r="C27" s="95">
        <f>IFERROR(INDEX(손익계산서!$C:$C,MATCH($I27,손익계산서!$G:$G,0)),0)</f>
        <v>0</v>
      </c>
      <c r="D27" s="96">
        <f t="shared" si="2"/>
        <v>2.0131700178682853E-3</v>
      </c>
      <c r="E27" s="95">
        <f>IFERROR(INDEX(손익계산서!$D:$D,MATCH($I27,손익계산서!$G:$G,0)),0)</f>
        <v>74924080</v>
      </c>
      <c r="F27" s="95">
        <f>IFERROR(INDEX(손익계산서!$E:$E,MATCH($I27,손익계산서!$G:$G,0)),0)</f>
        <v>0</v>
      </c>
      <c r="G27" s="96">
        <f t="shared" si="3"/>
        <v>2.0952090725611257E-3</v>
      </c>
      <c r="H27" t="str">
        <f t="shared" si="0"/>
        <v>접대비</v>
      </c>
      <c r="I27" t="str">
        <f>H27&amp;"|"&amp;COUNTIF($H$9:H27,H27)</f>
        <v>접대비|1</v>
      </c>
      <c r="J27" s="93" t="str">
        <f>IF($A27="","",IF(ISNUMBER(MATCH($I27,손익계산서!$G:$G,0)),"✓ 일치","⚠ 확인필요"))</f>
        <v>✓ 일치</v>
      </c>
      <c r="K27" s="94">
        <f t="shared" si="1"/>
        <v>-8.2039054692840431E-5</v>
      </c>
      <c r="M27" s="99">
        <f t="shared" si="4"/>
        <v>2.0046934482391799E-2</v>
      </c>
      <c r="P27" s="100">
        <f t="shared" si="5"/>
        <v>1.7459969604174484E-2</v>
      </c>
    </row>
    <row r="28" spans="1:16" ht="16.5" customHeight="1">
      <c r="A28" s="67" t="s">
        <v>150</v>
      </c>
      <c r="B28" s="95">
        <f>IFERROR(INDEX(손익계산서!$B:$B,MATCH($I28,손익계산서!$G:$G,0)),0)</f>
        <v>10884279</v>
      </c>
      <c r="C28" s="95">
        <f>IFERROR(INDEX(손익계산서!$C:$C,MATCH($I28,손익계산서!$G:$G,0)),0)</f>
        <v>0</v>
      </c>
      <c r="D28" s="96">
        <f t="shared" si="2"/>
        <v>5.0577586116238161E-4</v>
      </c>
      <c r="E28" s="95">
        <f>IFERROR(INDEX(손익계산서!$D:$D,MATCH($I28,손익계산서!$G:$G,0)),0)</f>
        <v>18692616</v>
      </c>
      <c r="F28" s="95">
        <f>IFERROR(INDEX(손익계산서!$E:$E,MATCH($I28,손익계산서!$G:$G,0)),0)</f>
        <v>0</v>
      </c>
      <c r="G28" s="96">
        <f t="shared" si="3"/>
        <v>5.2272832223100043E-4</v>
      </c>
      <c r="H28" t="str">
        <f t="shared" si="0"/>
        <v>통신비</v>
      </c>
      <c r="I28" t="str">
        <f>H28&amp;"|"&amp;COUNTIF($H$9:H28,H28)</f>
        <v>통신비|1</v>
      </c>
      <c r="J28" s="93" t="str">
        <f>IF($A28="","",IF(ISNUMBER(MATCH($I28,손익계산서!$G:$G,0)),"✓ 일치","⚠ 확인필요"))</f>
        <v>✓ 일치</v>
      </c>
      <c r="K28" s="94">
        <f t="shared" si="1"/>
        <v>-1.6952461068618814E-5</v>
      </c>
      <c r="M28" s="99">
        <f t="shared" si="4"/>
        <v>5.0364626243708192E-3</v>
      </c>
      <c r="P28" s="100">
        <f t="shared" si="5"/>
        <v>4.3560429061325233E-3</v>
      </c>
    </row>
    <row r="29" spans="1:16" ht="16.5" customHeight="1">
      <c r="A29" s="67" t="s">
        <v>151</v>
      </c>
      <c r="B29" s="95">
        <f>IFERROR(INDEX(손익계산서!$B:$B,MATCH($I29,손익계산서!$G:$G,0)),0)</f>
        <v>658900</v>
      </c>
      <c r="C29" s="95">
        <f>IFERROR(INDEX(손익계산서!$C:$C,MATCH($I29,손익계산서!$G:$G,0)),0)</f>
        <v>0</v>
      </c>
      <c r="D29" s="96">
        <f t="shared" si="2"/>
        <v>3.0618079058786824E-5</v>
      </c>
      <c r="E29" s="95">
        <f>IFERROR(INDEX(손익계산서!$D:$D,MATCH($I29,손익계산서!$G:$G,0)),0)</f>
        <v>1127751</v>
      </c>
      <c r="F29" s="95">
        <f>IFERROR(INDEX(손익계산서!$E:$E,MATCH($I29,손익계산서!$G:$G,0)),0)</f>
        <v>0</v>
      </c>
      <c r="G29" s="96">
        <f t="shared" si="3"/>
        <v>3.1536912122109231E-5</v>
      </c>
      <c r="H29" t="str">
        <f t="shared" si="0"/>
        <v>수도광열비</v>
      </c>
      <c r="I29" t="str">
        <f>H29&amp;"|"&amp;COUNTIF($H$9:H29,H29)</f>
        <v>수도광열비|1</v>
      </c>
      <c r="J29" s="93" t="str">
        <f>IF($A29="","",IF(ISNUMBER(MATCH($I29,손익계산서!$G:$G,0)),"✓ 일치","⚠ 확인필요"))</f>
        <v>✓ 일치</v>
      </c>
      <c r="K29" s="94">
        <f t="shared" si="1"/>
        <v>-9.1883306332240676E-7</v>
      </c>
      <c r="M29" s="99">
        <f t="shared" si="4"/>
        <v>3.048915985338058E-4</v>
      </c>
      <c r="P29" s="100">
        <f t="shared" si="5"/>
        <v>2.6280600550687282E-4</v>
      </c>
    </row>
    <row r="30" spans="1:16" ht="16.5" customHeight="1">
      <c r="A30" s="67" t="s">
        <v>152</v>
      </c>
      <c r="B30" s="95">
        <f>IFERROR(INDEX(손익계산서!$B:$B,MATCH($I30,손익계산서!$G:$G,0)),0)</f>
        <v>9937528</v>
      </c>
      <c r="C30" s="95">
        <f>IFERROR(INDEX(손익계산서!$C:$C,MATCH($I30,손익계산서!$G:$G,0)),0)</f>
        <v>0</v>
      </c>
      <c r="D30" s="96">
        <f t="shared" si="2"/>
        <v>4.617817847213655E-4</v>
      </c>
      <c r="E30" s="95">
        <f>IFERROR(INDEX(손익계산서!$D:$D,MATCH($I30,손익계산서!$G:$G,0)),0)</f>
        <v>15489170</v>
      </c>
      <c r="F30" s="95">
        <f>IFERROR(INDEX(손익계산서!$E:$E,MATCH($I30,손익계산서!$G:$G,0)),0)</f>
        <v>0</v>
      </c>
      <c r="G30" s="96">
        <f t="shared" si="3"/>
        <v>4.3314578584670787E-4</v>
      </c>
      <c r="H30" t="str">
        <f t="shared" si="0"/>
        <v>전력비</v>
      </c>
      <c r="I30" t="str">
        <f>H30&amp;"|"&amp;COUNTIF($H$9:H30,H30)</f>
        <v>전력비|1</v>
      </c>
      <c r="J30" s="93" t="str">
        <f>IF($A30="","",IF(ISNUMBER(MATCH($I30,손익계산서!$G:$G,0)),"✓ 일치","⚠ 확인필요"))</f>
        <v>✓ 일치</v>
      </c>
      <c r="K30" s="94">
        <f t="shared" si="1"/>
        <v>2.8635998874657629E-5</v>
      </c>
      <c r="M30" s="99">
        <f t="shared" si="4"/>
        <v>4.5983742561761329E-3</v>
      </c>
      <c r="P30" s="100">
        <f t="shared" si="5"/>
        <v>3.6095263017429284E-3</v>
      </c>
    </row>
    <row r="31" spans="1:16" ht="16.5" customHeight="1">
      <c r="A31" s="67" t="s">
        <v>153</v>
      </c>
      <c r="B31" s="95">
        <f>IFERROR(INDEX(손익계산서!$B:$B,MATCH($I31,손익계산서!$G:$G,0)),0)</f>
        <v>61818760</v>
      </c>
      <c r="C31" s="95">
        <f>IFERROR(INDEX(손익계산서!$C:$C,MATCH($I31,손익계산서!$G:$G,0)),0)</f>
        <v>0</v>
      </c>
      <c r="D31" s="96">
        <f t="shared" si="2"/>
        <v>2.8726235862743493E-3</v>
      </c>
      <c r="E31" s="95">
        <f>IFERROR(INDEX(손익계산서!$D:$D,MATCH($I31,손익계산서!$G:$G,0)),0)</f>
        <v>41002240</v>
      </c>
      <c r="F31" s="95">
        <f>IFERROR(INDEX(손익계산서!$E:$E,MATCH($I31,손익계산서!$G:$G,0)),0)</f>
        <v>0</v>
      </c>
      <c r="G31" s="96">
        <f t="shared" si="3"/>
        <v>1.1466042057951019E-3</v>
      </c>
      <c r="H31" t="str">
        <f t="shared" si="0"/>
        <v>세금과공과금</v>
      </c>
      <c r="I31" t="str">
        <f>H31&amp;"|"&amp;COUNTIF($H$9:H31,H31)</f>
        <v>세금과공과금|1</v>
      </c>
      <c r="J31" s="93" t="str">
        <f>IF($A31="","",IF(ISNUMBER(MATCH($I31,손익계산서!$G:$G,0)),"✓ 일치","⚠ 확인필요"))</f>
        <v>✓ 일치</v>
      </c>
      <c r="K31" s="94">
        <f t="shared" si="1"/>
        <v>1.7260193804792474E-3</v>
      </c>
      <c r="M31" s="99">
        <f t="shared" si="4"/>
        <v>2.8605282373315666E-2</v>
      </c>
      <c r="P31" s="100">
        <f t="shared" si="5"/>
        <v>9.5549770394653798E-3</v>
      </c>
    </row>
    <row r="32" spans="1:16" ht="16.5" customHeight="1">
      <c r="A32" s="67" t="s">
        <v>154</v>
      </c>
      <c r="B32" s="95">
        <f>IFERROR(INDEX(손익계산서!$B:$B,MATCH($I32,손익계산서!$G:$G,0)),0)</f>
        <v>71625807</v>
      </c>
      <c r="C32" s="95">
        <f>IFERROR(INDEX(손익계산서!$C:$C,MATCH($I32,손익계산서!$G:$G,0)),0)</f>
        <v>0</v>
      </c>
      <c r="D32" s="96">
        <f t="shared" si="2"/>
        <v>3.3283421177347197E-3</v>
      </c>
      <c r="E32" s="95">
        <f>IFERROR(INDEX(손익계산서!$D:$D,MATCH($I32,손익계산서!$G:$G,0)),0)</f>
        <v>151430376</v>
      </c>
      <c r="F32" s="95">
        <f>IFERROR(INDEX(손익계산서!$E:$E,MATCH($I32,손익계산서!$G:$G,0)),0)</f>
        <v>0</v>
      </c>
      <c r="G32" s="96">
        <f t="shared" si="3"/>
        <v>4.234663911209087E-3</v>
      </c>
      <c r="H32" t="str">
        <f t="shared" si="0"/>
        <v>감가상각비</v>
      </c>
      <c r="I32" t="str">
        <f>H32&amp;"|"&amp;COUNTIF($H$9:H32,H32)</f>
        <v>감가상각비|1</v>
      </c>
      <c r="J32" s="93" t="str">
        <f>IF($A32="","",IF(ISNUMBER(MATCH($I32,손익계산서!$G:$G,0)),"✓ 일치","⚠ 확인필요"))</f>
        <v>✓ 일치</v>
      </c>
      <c r="K32" s="94">
        <f t="shared" si="1"/>
        <v>-9.0632179347436724E-4</v>
      </c>
      <c r="M32" s="98">
        <f t="shared" si="4"/>
        <v>3.3143279393692299E-2</v>
      </c>
      <c r="P32" s="100">
        <f t="shared" si="5"/>
        <v>3.5288651687264139E-2</v>
      </c>
    </row>
    <row r="33" spans="1:16" ht="16.5" customHeight="1">
      <c r="A33" s="67" t="s">
        <v>155</v>
      </c>
      <c r="B33" s="95">
        <f>IFERROR(INDEX(손익계산서!$B:$B,MATCH($I33,손익계산서!$G:$G,0)),0)</f>
        <v>94500000</v>
      </c>
      <c r="C33" s="95">
        <f>IFERROR(INDEX(손익계산서!$C:$C,MATCH($I33,손익계산서!$G:$G,0)),0)</f>
        <v>0</v>
      </c>
      <c r="D33" s="96">
        <f t="shared" si="2"/>
        <v>4.3912710138949082E-3</v>
      </c>
      <c r="E33" s="95">
        <f>IFERROR(INDEX(손익계산서!$D:$D,MATCH($I33,손익계산서!$G:$G,0)),0)</f>
        <v>162000000</v>
      </c>
      <c r="F33" s="95">
        <f>IFERROR(INDEX(손익계산서!$E:$E,MATCH($I33,손익계산서!$G:$G,0)),0)</f>
        <v>0</v>
      </c>
      <c r="G33" s="96">
        <f t="shared" si="3"/>
        <v>4.5302374050492488E-3</v>
      </c>
      <c r="H33" t="str">
        <f t="shared" si="0"/>
        <v>지급임차료</v>
      </c>
      <c r="I33" t="str">
        <f>H33&amp;"|"&amp;COUNTIF($H$9:H33,H33)</f>
        <v>지급임차료|1</v>
      </c>
      <c r="J33" s="93" t="str">
        <f>IF($A33="","",IF(ISNUMBER(MATCH($I33,손익계산서!$G:$G,0)),"✓ 일치","⚠ 확인필요"))</f>
        <v>✓ 일치</v>
      </c>
      <c r="K33" s="94">
        <f t="shared" si="1"/>
        <v>-1.389663911543406E-4</v>
      </c>
      <c r="M33" s="98">
        <f t="shared" si="4"/>
        <v>4.3727813114956209E-2</v>
      </c>
      <c r="P33" s="98">
        <f t="shared" si="5"/>
        <v>3.7751749182322512E-2</v>
      </c>
    </row>
    <row r="34" spans="1:16" ht="16.5" customHeight="1">
      <c r="A34" s="67" t="s">
        <v>156</v>
      </c>
      <c r="B34" s="95">
        <f>IFERROR(INDEX(손익계산서!$B:$B,MATCH($I34,손익계산서!$G:$G,0)),0)</f>
        <v>48751589</v>
      </c>
      <c r="C34" s="95">
        <f>IFERROR(INDEX(손익계산서!$C:$C,MATCH($I34,손익계산서!$G:$G,0)),0)</f>
        <v>0</v>
      </c>
      <c r="D34" s="96">
        <f t="shared" si="2"/>
        <v>2.2654120598626227E-3</v>
      </c>
      <c r="E34" s="95">
        <f>IFERROR(INDEX(손익계산서!$D:$D,MATCH($I34,손익계산서!$G:$G,0)),0)</f>
        <v>68016202</v>
      </c>
      <c r="F34" s="95">
        <f>IFERROR(INDEX(손익계산서!$E:$E,MATCH($I34,손익계산서!$G:$G,0)),0)</f>
        <v>0</v>
      </c>
      <c r="G34" s="96">
        <f t="shared" si="3"/>
        <v>1.9020342126529971E-3</v>
      </c>
      <c r="H34" t="str">
        <f t="shared" si="0"/>
        <v>보험료</v>
      </c>
      <c r="I34" t="str">
        <f>H34&amp;"|"&amp;COUNTIF($H$9:H34,H34)</f>
        <v>보험료|1</v>
      </c>
      <c r="J34" s="93" t="str">
        <f>IF($A34="","",IF(ISNUMBER(MATCH($I34,손익계산서!$G:$G,0)),"✓ 일치","⚠ 확인필요"))</f>
        <v>✓ 일치</v>
      </c>
      <c r="K34" s="94">
        <f t="shared" si="1"/>
        <v>3.633778472096256E-4</v>
      </c>
      <c r="M34" s="99">
        <f t="shared" si="4"/>
        <v>2.2558734104223859E-2</v>
      </c>
      <c r="P34" s="100">
        <f t="shared" si="5"/>
        <v>1.5850188878013476E-2</v>
      </c>
    </row>
    <row r="35" spans="1:16" ht="16.5" customHeight="1">
      <c r="A35" s="67" t="s">
        <v>157</v>
      </c>
      <c r="B35" s="95">
        <f>IFERROR(INDEX(손익계산서!$B:$B,MATCH($I35,손익계산서!$G:$G,0)),0)</f>
        <v>155024259</v>
      </c>
      <c r="C35" s="95">
        <f>IFERROR(INDEX(손익계산서!$C:$C,MATCH($I35,손익계산서!$G:$G,0)),0)</f>
        <v>0</v>
      </c>
      <c r="D35" s="96">
        <f t="shared" si="2"/>
        <v>7.2037411110818716E-3</v>
      </c>
      <c r="E35" s="95">
        <f>IFERROR(INDEX(손익계산서!$D:$D,MATCH($I35,손익계산서!$G:$G,0)),0)</f>
        <v>234909756</v>
      </c>
      <c r="F35" s="95">
        <f>IFERROR(INDEX(손익계산서!$E:$E,MATCH($I35,손익계산서!$G:$G,0)),0)</f>
        <v>0</v>
      </c>
      <c r="G35" s="96">
        <f t="shared" si="3"/>
        <v>6.5691170582851373E-3</v>
      </c>
      <c r="H35" t="str">
        <f t="shared" si="0"/>
        <v>차량유지비</v>
      </c>
      <c r="I35" t="str">
        <f>H35&amp;"|"&amp;COUNTIF($H$9:H35,H35)</f>
        <v>차량유지비|1</v>
      </c>
      <c r="J35" s="93" t="str">
        <f>IF($A35="","",IF(ISNUMBER(MATCH($I35,손익계산서!$G:$G,0)),"✓ 일치","⚠ 확인필요"))</f>
        <v>✓ 일치</v>
      </c>
      <c r="K35" s="94">
        <f t="shared" si="1"/>
        <v>6.346240527967343E-4</v>
      </c>
      <c r="M35" s="98">
        <f t="shared" si="4"/>
        <v>7.1734093395095955E-2</v>
      </c>
      <c r="P35" s="98">
        <f t="shared" si="5"/>
        <v>5.4742309808596179E-2</v>
      </c>
    </row>
    <row r="36" spans="1:16" ht="16.5" customHeight="1">
      <c r="A36" s="67" t="s">
        <v>158</v>
      </c>
      <c r="B36" s="95">
        <f>IFERROR(INDEX(손익계산서!$B:$B,MATCH($I36,손익계산서!$G:$G,0)),0)</f>
        <v>11781419</v>
      </c>
      <c r="C36" s="95">
        <f>IFERROR(INDEX(손익계산서!$C:$C,MATCH($I36,손익계산서!$G:$G,0)),0)</f>
        <v>0</v>
      </c>
      <c r="D36" s="96">
        <f t="shared" si="2"/>
        <v>5.4746459002381735E-4</v>
      </c>
      <c r="E36" s="95">
        <f>IFERROR(INDEX(손익계산서!$D:$D,MATCH($I36,손익계산서!$G:$G,0)),0)</f>
        <v>26830863</v>
      </c>
      <c r="F36" s="95">
        <f>IFERROR(INDEX(손익계산서!$E:$E,MATCH($I36,손익계산서!$G:$G,0)),0)</f>
        <v>0</v>
      </c>
      <c r="G36" s="96">
        <f t="shared" si="3"/>
        <v>7.5030974797748095E-4</v>
      </c>
      <c r="H36" t="str">
        <f t="shared" si="0"/>
        <v>운반비</v>
      </c>
      <c r="I36" t="str">
        <f>H36&amp;"|"&amp;COUNTIF($H$9:H36,H36)</f>
        <v>운반비|1</v>
      </c>
      <c r="J36" s="93" t="str">
        <f>IF($A36="","",IF(ISNUMBER(MATCH($I36,손익계산서!$G:$G,0)),"✓ 일치","⚠ 확인필요"))</f>
        <v>✓ 일치</v>
      </c>
      <c r="K36" s="94">
        <f t="shared" si="1"/>
        <v>-2.028451579536636E-4</v>
      </c>
      <c r="M36" s="99">
        <f t="shared" si="4"/>
        <v>5.4515945847724264E-3</v>
      </c>
      <c r="P36" s="100">
        <f t="shared" si="5"/>
        <v>6.2525432735880083E-3</v>
      </c>
    </row>
    <row r="37" spans="1:16" ht="16.5" customHeight="1">
      <c r="A37" s="67" t="s">
        <v>159</v>
      </c>
      <c r="B37" s="95">
        <f>IFERROR(INDEX(손익계산서!$B:$B,MATCH($I37,손익계산서!$G:$G,0)),0)</f>
        <v>0</v>
      </c>
      <c r="C37" s="95">
        <f>IFERROR(INDEX(손익계산서!$C:$C,MATCH($I37,손익계산서!$G:$G,0)),0)</f>
        <v>0</v>
      </c>
      <c r="D37" s="96">
        <f t="shared" si="2"/>
        <v>0</v>
      </c>
      <c r="E37" s="95">
        <f>IFERROR(INDEX(손익계산서!$D:$D,MATCH($I37,손익계산서!$G:$G,0)),0)</f>
        <v>0</v>
      </c>
      <c r="F37" s="95">
        <f>IFERROR(INDEX(손익계산서!$E:$E,MATCH($I37,손익계산서!$G:$G,0)),0)</f>
        <v>0</v>
      </c>
      <c r="G37" s="96">
        <f t="shared" si="3"/>
        <v>0</v>
      </c>
      <c r="H37" t="str">
        <f t="shared" si="0"/>
        <v>포장비</v>
      </c>
      <c r="I37" t="str">
        <f>H37&amp;"|"&amp;COUNTIF($H$9:H37,H37)</f>
        <v>포장비|1</v>
      </c>
      <c r="J37" s="93" t="str">
        <f>IF($A37="","",IF(ISNUMBER(MATCH($I37,손익계산서!$G:$G,0)),"✓ 일치","⚠ 확인필요"))</f>
        <v>⚠ 확인필요</v>
      </c>
      <c r="K37" s="94">
        <f t="shared" si="1"/>
        <v>0</v>
      </c>
      <c r="M37" s="99">
        <f t="shared" si="4"/>
        <v>0</v>
      </c>
      <c r="P37" s="100">
        <f t="shared" si="5"/>
        <v>0</v>
      </c>
    </row>
    <row r="38" spans="1:16" ht="16.5" customHeight="1">
      <c r="A38" s="67" t="s">
        <v>160</v>
      </c>
      <c r="B38" s="95">
        <f>IFERROR(INDEX(손익계산서!$B:$B,MATCH($I38,손익계산서!$G:$G,0)),0)</f>
        <v>18876205</v>
      </c>
      <c r="C38" s="95">
        <f>IFERROR(INDEX(손익계산서!$C:$C,MATCH($I38,손익계산서!$G:$G,0)),0)</f>
        <v>0</v>
      </c>
      <c r="D38" s="96">
        <f t="shared" si="2"/>
        <v>8.7714848538453054E-4</v>
      </c>
      <c r="E38" s="95">
        <f>IFERROR(INDEX(손익계산서!$D:$D,MATCH($I38,손익계산서!$G:$G,0)),0)</f>
        <v>16554758</v>
      </c>
      <c r="F38" s="95">
        <f>IFERROR(INDEX(손익계산서!$E:$E,MATCH($I38,손익계산서!$G:$G,0)),0)</f>
        <v>0</v>
      </c>
      <c r="G38" s="96">
        <f t="shared" si="3"/>
        <v>4.6294434520455739E-4</v>
      </c>
      <c r="H38" t="str">
        <f t="shared" si="0"/>
        <v>소모품비</v>
      </c>
      <c r="I38" t="str">
        <f>H38&amp;"|"&amp;COUNTIF($H$9:H38,H38)</f>
        <v>소모품비|1</v>
      </c>
      <c r="J38" s="93" t="str">
        <f>IF($A38="","",IF(ISNUMBER(MATCH($I38,손익계산서!$G:$G,0)),"✓ 일치","⚠ 확인필요"))</f>
        <v>✓ 일치</v>
      </c>
      <c r="K38" s="94">
        <f t="shared" si="1"/>
        <v>4.1420414017997315E-4</v>
      </c>
      <c r="M38" s="99">
        <f t="shared" si="4"/>
        <v>8.7345520059217141E-3</v>
      </c>
      <c r="P38" s="100">
        <f t="shared" si="5"/>
        <v>3.8578461221607844E-3</v>
      </c>
    </row>
    <row r="39" spans="1:16" ht="16.5" customHeight="1">
      <c r="A39" s="67" t="s">
        <v>161</v>
      </c>
      <c r="B39" s="95">
        <f>IFERROR(INDEX(손익계산서!$B:$B,MATCH($I39,손익계산서!$G:$G,0)),0)</f>
        <v>196598820</v>
      </c>
      <c r="C39" s="95">
        <f>IFERROR(INDEX(손익계산서!$C:$C,MATCH($I39,손익계산서!$G:$G,0)),0)</f>
        <v>0</v>
      </c>
      <c r="D39" s="96">
        <f t="shared" si="2"/>
        <v>9.1356476151528317E-3</v>
      </c>
      <c r="E39" s="95">
        <f>IFERROR(INDEX(손익계산서!$D:$D,MATCH($I39,손익계산서!$G:$G,0)),0)</f>
        <v>292448219</v>
      </c>
      <c r="F39" s="95">
        <f>IFERROR(INDEX(손익계산서!$E:$E,MATCH($I39,손익계산서!$G:$G,0)),0)</f>
        <v>0</v>
      </c>
      <c r="G39" s="96">
        <f t="shared" si="3"/>
        <v>8.178147288603917E-3</v>
      </c>
      <c r="H39" t="str">
        <f t="shared" si="0"/>
        <v>지급수수료</v>
      </c>
      <c r="I39" t="str">
        <f>H39&amp;"|"&amp;COUNTIF($H$9:H39,H39)</f>
        <v>지급수수료|1</v>
      </c>
      <c r="J39" s="93" t="str">
        <f>IF($A39="","",IF(ISNUMBER(MATCH($I39,손익계산서!$G:$G,0)),"✓ 일치","⚠ 확인필요"))</f>
        <v>✓ 일치</v>
      </c>
      <c r="K39" s="94">
        <f t="shared" si="1"/>
        <v>9.5750032654891466E-4</v>
      </c>
      <c r="M39" s="98">
        <f t="shared" si="4"/>
        <v>9.0971814387099628E-2</v>
      </c>
      <c r="P39" s="98">
        <f t="shared" si="5"/>
        <v>6.8150813657437817E-2</v>
      </c>
    </row>
    <row r="40" spans="1:16" ht="16.5" customHeight="1">
      <c r="A40" s="67" t="s">
        <v>162</v>
      </c>
      <c r="B40" s="95">
        <f>IFERROR(INDEX(손익계산서!$B:$B,MATCH($I40,손익계산서!$G:$G,0)),0)</f>
        <v>0</v>
      </c>
      <c r="C40" s="95">
        <f>IFERROR(INDEX(손익계산서!$C:$C,MATCH($I40,손익계산서!$G:$G,0)),0)</f>
        <v>0</v>
      </c>
      <c r="D40" s="96">
        <f t="shared" si="2"/>
        <v>0</v>
      </c>
      <c r="E40" s="95">
        <f>IFERROR(INDEX(손익계산서!$D:$D,MATCH($I40,손익계산서!$G:$G,0)),0)</f>
        <v>72371897</v>
      </c>
      <c r="F40" s="95">
        <f>IFERROR(INDEX(손익계산서!$E:$E,MATCH($I40,손익계산서!$G:$G,0)),0)</f>
        <v>0</v>
      </c>
      <c r="G40" s="96">
        <f t="shared" si="3"/>
        <v>2.0238387337269846E-3</v>
      </c>
      <c r="H40" t="str">
        <f t="shared" si="0"/>
        <v>대손상각비</v>
      </c>
      <c r="I40" t="str">
        <f>H40&amp;"|"&amp;COUNTIF($H$9:H40,H40)</f>
        <v>대손상각비|1</v>
      </c>
      <c r="J40" s="93" t="str">
        <f>IF($A40="","",IF(ISNUMBER(MATCH($I40,손익계산서!$G:$G,0)),"✓ 일치","⚠ 확인필요"))</f>
        <v>✓ 일치</v>
      </c>
      <c r="K40" s="94">
        <f t="shared" si="1"/>
        <v>-2.0238387337269846E-3</v>
      </c>
      <c r="M40" s="99">
        <f t="shared" si="4"/>
        <v>0</v>
      </c>
      <c r="P40" s="100">
        <f t="shared" si="5"/>
        <v>1.6865220391314068E-2</v>
      </c>
    </row>
    <row r="41" spans="1:16" ht="17.25" customHeight="1">
      <c r="A41" s="67" t="s">
        <v>163</v>
      </c>
      <c r="B41" s="95">
        <f>IFERROR(INDEX(손익계산서!$B:$B,MATCH($I41,손익계산서!$G:$G,0)),0)</f>
        <v>968104</v>
      </c>
      <c r="C41" s="95">
        <f>IFERROR(INDEX(손익계산서!$C:$C,MATCH($I41,손익계산서!$G:$G,0)),0)</f>
        <v>0</v>
      </c>
      <c r="D41" s="96">
        <f t="shared" si="2"/>
        <v>4.4986317816250963E-5</v>
      </c>
      <c r="E41" s="95">
        <f>IFERROR(INDEX(손익계산서!$D:$D,MATCH($I41,손익계산서!$G:$G,0)),0)</f>
        <v>3560788</v>
      </c>
      <c r="F41" s="95">
        <f>IFERROR(INDEX(손익계산서!$E:$E,MATCH($I41,손익계산서!$G:$G,0)),0)</f>
        <v>0</v>
      </c>
      <c r="G41" s="96">
        <f t="shared" si="3"/>
        <v>9.9575401166978429E-5</v>
      </c>
      <c r="H41" t="str">
        <f t="shared" ref="H41:H62" si="6">SUBSTITUTE(A41," ","")</f>
        <v>수출제비용</v>
      </c>
      <c r="I41" t="str">
        <f>H41&amp;"|"&amp;COUNTIF($H$9:H41,H41)</f>
        <v>수출제비용|1</v>
      </c>
      <c r="J41" s="93" t="str">
        <f>IF($A41="","",IF(ISNUMBER(MATCH($I41,손익계산서!$G:$G,0)),"✓ 일치","⚠ 확인필요"))</f>
        <v>✓ 일치</v>
      </c>
      <c r="K41" s="94">
        <f t="shared" ref="K41:K62" si="7">IFERROR(IF(OR(D41="",G41=""),"",D41-G41),"")</f>
        <v>-5.4589083350727465E-5</v>
      </c>
      <c r="M41" s="99">
        <f t="shared" si="4"/>
        <v>4.4796900304594251E-4</v>
      </c>
      <c r="P41" s="100">
        <f t="shared" si="5"/>
        <v>8.2978997202113464E-4</v>
      </c>
    </row>
    <row r="42" spans="1:16" ht="16.5" customHeight="1">
      <c r="A42" s="74" t="s">
        <v>164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1708056234</v>
      </c>
      <c r="D42" s="92">
        <f>C42/C9</f>
        <v>7.9370770692769294E-2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1622495810</v>
      </c>
      <c r="G42" s="92">
        <f>F42/F9</f>
        <v>4.5372167950602962E-2</v>
      </c>
      <c r="H42" t="str">
        <f t="shared" si="6"/>
        <v>Ⅴ.영업이익</v>
      </c>
      <c r="I42" t="str">
        <f>H42&amp;"|"&amp;COUNTIF($H$9:H42,H42)</f>
        <v>Ⅴ.영업이익|1</v>
      </c>
      <c r="J42" s="93" t="str">
        <f>IF($A42="","",IF(ISNUMBER(MATCH($I42,손익계산서!$G:$G,0)),"✓ 일치","⚠ 확인필요"))</f>
        <v>✓ 일치</v>
      </c>
      <c r="K42" s="94">
        <f t="shared" si="7"/>
        <v>3.3998602742166331E-2</v>
      </c>
    </row>
    <row r="43" spans="1:16" ht="16.5" customHeight="1">
      <c r="A43" s="74" t="s">
        <v>165</v>
      </c>
      <c r="B43" s="91">
        <f>IFERROR(INDEX(손익계산서!$B:$B,MATCH($I43,손익계산서!$G:$G,0)),0)</f>
        <v>0</v>
      </c>
      <c r="C43" s="91">
        <f>IFERROR(INDEX(손익계산서!$C:$C,MATCH($I43,손익계산서!$G:$G,0)),0)</f>
        <v>145089917</v>
      </c>
      <c r="D43" s="92">
        <f>C43/$C$9</f>
        <v>6.7421073749261177E-3</v>
      </c>
      <c r="E43" s="91">
        <f>IFERROR(INDEX(손익계산서!$D:$D,MATCH($I43,손익계산서!$G:$G,0)),0)</f>
        <v>0</v>
      </c>
      <c r="F43" s="91">
        <f>IFERROR(INDEX(손익계산서!$E:$E,MATCH($I43,손익계산서!$G:$G,0)),0)</f>
        <v>213061525</v>
      </c>
      <c r="G43" s="92">
        <f>F43/$F$9</f>
        <v>5.9581437662458991E-3</v>
      </c>
      <c r="H43" t="str">
        <f t="shared" si="6"/>
        <v>Ⅵ.영업외수익</v>
      </c>
      <c r="I43" t="str">
        <f>H43&amp;"|"&amp;COUNTIF($H$9:H43,H43)</f>
        <v>Ⅵ.영업외수익|1</v>
      </c>
      <c r="J43" s="93" t="str">
        <f>IF($A43="","",IF(ISNUMBER(MATCH($I43,손익계산서!$G:$G,0)),"✓ 일치","⚠ 확인필요"))</f>
        <v>✓ 일치</v>
      </c>
      <c r="K43" s="94">
        <f t="shared" si="7"/>
        <v>7.8396360868021858E-4</v>
      </c>
    </row>
    <row r="44" spans="1:16" ht="16.5" customHeight="1">
      <c r="A44" s="67" t="s">
        <v>166</v>
      </c>
      <c r="B44" s="95">
        <f>IFERROR(INDEX(손익계산서!$B:$B,MATCH($I44,손익계산서!$G:$G,0)),0)</f>
        <v>113934601</v>
      </c>
      <c r="C44" s="95">
        <f>IFERROR(INDEX(손익계산서!$C:$C,MATCH($I44,손익계산서!$G:$G,0)),0)</f>
        <v>0</v>
      </c>
      <c r="D44" s="96">
        <f t="shared" ref="D44:D50" si="8">B44/$C$9</f>
        <v>5.2943673105924002E-3</v>
      </c>
      <c r="E44" s="95">
        <f>IFERROR(INDEX(손익계산서!$D:$D,MATCH($I44,손익계산서!$G:$G,0)),0)</f>
        <v>191956603</v>
      </c>
      <c r="F44" s="95">
        <f>IFERROR(INDEX(손익계산서!$E:$E,MATCH($I44,손익계산서!$G:$G,0)),0)</f>
        <v>0</v>
      </c>
      <c r="G44" s="96">
        <f t="shared" ref="G44:G50" si="9">E44/F$9</f>
        <v>5.3679566855357342E-3</v>
      </c>
      <c r="H44" t="str">
        <f t="shared" si="6"/>
        <v>이자수익</v>
      </c>
      <c r="I44" t="str">
        <f>H44&amp;"|"&amp;COUNTIF($H$9:H44,H44)</f>
        <v>이자수익|1</v>
      </c>
      <c r="J44" s="93" t="str">
        <f>IF($A44="","",IF(ISNUMBER(MATCH($I44,손익계산서!$G:$G,0)),"✓ 일치","⚠ 확인필요"))</f>
        <v>✓ 일치</v>
      </c>
      <c r="K44" s="94">
        <f t="shared" si="7"/>
        <v>-7.3589374943333966E-5</v>
      </c>
    </row>
    <row r="45" spans="1:16" ht="16.5" customHeight="1">
      <c r="A45" s="67" t="s">
        <v>167</v>
      </c>
      <c r="B45" s="95">
        <f>IFERROR(INDEX(손익계산서!$B:$B,MATCH($I45,손익계산서!$G:$G,0)),0)</f>
        <v>9493467</v>
      </c>
      <c r="C45" s="95">
        <f>IFERROR(INDEX(손익계산서!$C:$C,MATCH($I45,손익계산서!$G:$G,0)),0)</f>
        <v>0</v>
      </c>
      <c r="D45" s="96">
        <f t="shared" si="8"/>
        <v>4.4114694665045345E-4</v>
      </c>
      <c r="E45" s="95">
        <f>IFERROR(INDEX(손익계산서!$D:$D,MATCH($I45,손익계산서!$G:$G,0)),0)</f>
        <v>94348</v>
      </c>
      <c r="F45" s="95">
        <f>IFERROR(INDEX(손익계산서!$E:$E,MATCH($I45,손익계산서!$G:$G,0)),0)</f>
        <v>0</v>
      </c>
      <c r="G45" s="96">
        <f t="shared" si="9"/>
        <v>2.6383878931579416E-6</v>
      </c>
      <c r="H45" t="str">
        <f t="shared" si="6"/>
        <v>외환차익</v>
      </c>
      <c r="I45" t="str">
        <f>H45&amp;"|"&amp;COUNTIF($H$9:H45,H45)</f>
        <v>외환차익|1</v>
      </c>
      <c r="J45" s="93" t="str">
        <f>IF($A45="","",IF(ISNUMBER(MATCH($I45,손익계산서!$G:$G,0)),"✓ 일치","⚠ 확인필요"))</f>
        <v>✓ 일치</v>
      </c>
      <c r="K45" s="94">
        <f t="shared" si="7"/>
        <v>4.3850855875729553E-4</v>
      </c>
    </row>
    <row r="46" spans="1:16" ht="16.5" customHeight="1">
      <c r="A46" s="67" t="s">
        <v>168</v>
      </c>
      <c r="B46" s="95">
        <f>IFERROR(INDEX(손익계산서!$B:$B,MATCH($I46,손익계산서!$G:$G,0)),0)</f>
        <v>0</v>
      </c>
      <c r="C46" s="95">
        <f>IFERROR(INDEX(손익계산서!$C:$C,MATCH($I46,손익계산서!$G:$G,0)),0)</f>
        <v>0</v>
      </c>
      <c r="D46" s="96">
        <f t="shared" si="8"/>
        <v>0</v>
      </c>
      <c r="E46" s="95">
        <f>IFERROR(INDEX(손익계산서!$D:$D,MATCH($I46,손익계산서!$G:$G,0)),0)</f>
        <v>0</v>
      </c>
      <c r="F46" s="95">
        <f>IFERROR(INDEX(손익계산서!$E:$E,MATCH($I46,손익계산서!$G:$G,0)),0)</f>
        <v>0</v>
      </c>
      <c r="G46" s="96">
        <f t="shared" si="9"/>
        <v>0</v>
      </c>
      <c r="H46" t="str">
        <f t="shared" si="6"/>
        <v>외화환산이익</v>
      </c>
      <c r="I46" t="str">
        <f>H46&amp;"|"&amp;COUNTIF($H$9:H46,H46)</f>
        <v>외화환산이익|1</v>
      </c>
      <c r="J46" s="93" t="str">
        <f>IF($A46="","",IF(ISNUMBER(MATCH($I46,손익계산서!$G:$G,0)),"✓ 일치","⚠ 확인필요"))</f>
        <v>⚠ 확인필요</v>
      </c>
      <c r="K46" s="94">
        <f t="shared" si="7"/>
        <v>0</v>
      </c>
    </row>
    <row r="47" spans="1:16" ht="16.5" customHeight="1">
      <c r="A47" s="67" t="s">
        <v>169</v>
      </c>
      <c r="B47" s="95">
        <f>IFERROR(INDEX(손익계산서!$B:$B,MATCH($I47,손익계산서!$G:$G,0)),0)</f>
        <v>7089909</v>
      </c>
      <c r="C47" s="95">
        <f>IFERROR(INDEX(손익계산서!$C:$C,MATCH($I47,손익계산서!$G:$G,0)),0)</f>
        <v>0</v>
      </c>
      <c r="D47" s="96">
        <f t="shared" si="8"/>
        <v>3.2945726860161519E-4</v>
      </c>
      <c r="E47" s="95">
        <f>IFERROR(INDEX(손익계산서!$D:$D,MATCH($I47,손익계산서!$G:$G,0)),0)</f>
        <v>8659536</v>
      </c>
      <c r="F47" s="95">
        <f>IFERROR(INDEX(손익계산서!$E:$E,MATCH($I47,손익계산서!$G:$G,0)),0)</f>
        <v>0</v>
      </c>
      <c r="G47" s="96">
        <f t="shared" si="9"/>
        <v>2.4215897467636145E-4</v>
      </c>
      <c r="H47" t="str">
        <f t="shared" si="6"/>
        <v>유형자산처분이익</v>
      </c>
      <c r="I47" t="str">
        <f>H47&amp;"|"&amp;COUNTIF($H$9:H47,H47)</f>
        <v>유형자산처분이익|1</v>
      </c>
      <c r="J47" s="93" t="str">
        <f>IF($A47="","",IF(ISNUMBER(MATCH($I47,손익계산서!$G:$G,0)),"✓ 일치","⚠ 확인필요"))</f>
        <v>✓ 일치</v>
      </c>
      <c r="K47" s="94">
        <f t="shared" si="7"/>
        <v>8.7298293925253741E-5</v>
      </c>
    </row>
    <row r="48" spans="1:16" ht="16.5" customHeight="1">
      <c r="A48" s="67" t="s">
        <v>170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투자자산처분이익</v>
      </c>
      <c r="I48" t="str">
        <f>H48&amp;"|"&amp;COUNTIF($H$9:H48,H48)</f>
        <v>투자자산처분이익|1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171</v>
      </c>
      <c r="B49" s="95">
        <f>IFERROR(INDEX(손익계산서!$B:$B,MATCH($I49,손익계산서!$G:$G,0)),0)</f>
        <v>0</v>
      </c>
      <c r="C49" s="95">
        <f>IFERROR(INDEX(손익계산서!$C:$C,MATCH($I49,손익계산서!$G:$G,0)),0)</f>
        <v>0</v>
      </c>
      <c r="D49" s="96">
        <f t="shared" si="8"/>
        <v>0</v>
      </c>
      <c r="E49" s="95">
        <f>IFERROR(INDEX(손익계산서!$D:$D,MATCH($I49,손익계산서!$G:$G,0)),0)</f>
        <v>0</v>
      </c>
      <c r="F49" s="95">
        <f>IFERROR(INDEX(손익계산서!$E:$E,MATCH($I49,손익계산서!$G:$G,0)),0)</f>
        <v>0</v>
      </c>
      <c r="G49" s="96">
        <f t="shared" si="9"/>
        <v>0</v>
      </c>
      <c r="H49" t="str">
        <f t="shared" si="6"/>
        <v>금융상품처분이익</v>
      </c>
      <c r="I49" t="str">
        <f>H49&amp;"|"&amp;COUNTIF($H$9:H49,H49)</f>
        <v>금융상품처분이익|1</v>
      </c>
      <c r="J49" s="93" t="str">
        <f>IF($A49="","",IF(ISNUMBER(MATCH($I49,손익계산서!$G:$G,0)),"✓ 일치","⚠ 확인필요"))</f>
        <v>⚠ 확인필요</v>
      </c>
      <c r="K49" s="94">
        <f t="shared" si="7"/>
        <v>0</v>
      </c>
    </row>
    <row r="50" spans="1:11" ht="16.5" customHeight="1">
      <c r="A50" s="67" t="s">
        <v>172</v>
      </c>
      <c r="B50" s="95">
        <f>IFERROR(INDEX(손익계산서!$B:$B,MATCH($I50,손익계산서!$G:$G,0)),0)</f>
        <v>14571940</v>
      </c>
      <c r="C50" s="95">
        <f>IFERROR(INDEX(손익계산서!$C:$C,MATCH($I50,손익계산서!$G:$G,0)),0)</f>
        <v>0</v>
      </c>
      <c r="D50" s="96">
        <f t="shared" si="8"/>
        <v>6.7713584908164835E-4</v>
      </c>
      <c r="E50" s="95">
        <f>IFERROR(INDEX(손익계산서!$D:$D,MATCH($I50,손익계산서!$G:$G,0)),0)</f>
        <v>12351038</v>
      </c>
      <c r="F50" s="95">
        <f>IFERROR(INDEX(손익계산서!$E:$E,MATCH($I50,손익계산서!$G:$G,0)),0)</f>
        <v>0</v>
      </c>
      <c r="G50" s="96">
        <f t="shared" si="9"/>
        <v>3.4538971814064611E-4</v>
      </c>
      <c r="H50" t="str">
        <f t="shared" si="6"/>
        <v>잡이익</v>
      </c>
      <c r="I50" t="str">
        <f>H50&amp;"|"&amp;COUNTIF($H$9:H50,H50)</f>
        <v>잡이익|1</v>
      </c>
      <c r="J50" s="93" t="str">
        <f>IF($A50="","",IF(ISNUMBER(MATCH($I50,손익계산서!$G:$G,0)),"✓ 일치","⚠ 확인필요"))</f>
        <v>✓ 일치</v>
      </c>
      <c r="K50" s="94">
        <f t="shared" si="7"/>
        <v>3.3174613094100224E-4</v>
      </c>
    </row>
    <row r="51" spans="1:11" ht="16.5" customHeight="1">
      <c r="A51" s="74" t="s">
        <v>173</v>
      </c>
      <c r="B51" s="91">
        <f>IFERROR(INDEX(손익계산서!$B:$B,MATCH($I51,손익계산서!$G:$G,0)),0)</f>
        <v>0</v>
      </c>
      <c r="C51" s="91">
        <f>IFERROR(INDEX(손익계산서!$C:$C,MATCH($I51,손익계산서!$G:$G,0)),0)</f>
        <v>1315405</v>
      </c>
      <c r="D51" s="92">
        <f>C51/$C$9</f>
        <v>6.1124866116745306E-5</v>
      </c>
      <c r="E51" s="91">
        <f>IFERROR(INDEX(손익계산서!$D:$D,MATCH($I51,손익계산서!$G:$G,0)),0)</f>
        <v>0</v>
      </c>
      <c r="F51" s="91">
        <f>IFERROR(INDEX(손익계산서!$E:$E,MATCH($I51,손익계산서!$G:$G,0)),0)</f>
        <v>14528746</v>
      </c>
      <c r="G51" s="92">
        <f>F51/F$9</f>
        <v>4.0628807763987444E-4</v>
      </c>
      <c r="H51" t="str">
        <f t="shared" si="6"/>
        <v>Ⅶ.영업외비용</v>
      </c>
      <c r="I51" t="str">
        <f>H51&amp;"|"&amp;COUNTIF($H$9:H51,H51)</f>
        <v>Ⅶ.영업외비용|1</v>
      </c>
      <c r="J51" s="93" t="str">
        <f>IF($A51="","",IF(ISNUMBER(MATCH($I51,손익계산서!$G:$G,0)),"✓ 일치","⚠ 확인필요"))</f>
        <v>✓ 일치</v>
      </c>
      <c r="K51" s="94">
        <f t="shared" si="7"/>
        <v>-3.4516321152312915E-4</v>
      </c>
    </row>
    <row r="52" spans="1:11" ht="16.5" customHeight="1">
      <c r="A52" s="67" t="s">
        <v>174</v>
      </c>
      <c r="B52" s="95">
        <f>IFERROR(INDEX(손익계산서!$B:$B,MATCH($I52,손익계산서!$G:$G,0)),0)</f>
        <v>0</v>
      </c>
      <c r="C52" s="95">
        <f>IFERROR(INDEX(손익계산서!$C:$C,MATCH($I52,손익계산서!$G:$G,0)),0)</f>
        <v>0</v>
      </c>
      <c r="D52" s="96">
        <f t="shared" ref="D52:D58" si="10">B52/$C$9</f>
        <v>0</v>
      </c>
      <c r="E52" s="95">
        <f>IFERROR(INDEX(손익계산서!$D:$D,MATCH($I52,손익계산서!$G:$G,0)),0)</f>
        <v>0</v>
      </c>
      <c r="F52" s="95">
        <f>IFERROR(INDEX(손익계산서!$E:$E,MATCH($I52,손익계산서!$G:$G,0)),0)</f>
        <v>0</v>
      </c>
      <c r="G52" s="96">
        <f t="shared" ref="G52:G58" si="11">E52/F$9</f>
        <v>0</v>
      </c>
      <c r="H52" t="str">
        <f t="shared" si="6"/>
        <v>이자비용</v>
      </c>
      <c r="I52" t="str">
        <f>H52&amp;"|"&amp;COUNTIF($H$9:H52,H52)</f>
        <v>이자비용|1</v>
      </c>
      <c r="J52" s="93" t="str">
        <f>IF($A52="","",IF(ISNUMBER(MATCH($I52,손익계산서!$G:$G,0)),"✓ 일치","⚠ 확인필요"))</f>
        <v>⚠ 확인필요</v>
      </c>
      <c r="K52" s="94">
        <f t="shared" si="7"/>
        <v>0</v>
      </c>
    </row>
    <row r="53" spans="1:11" ht="16.5" customHeight="1">
      <c r="A53" s="67" t="s">
        <v>175</v>
      </c>
      <c r="B53" s="95">
        <f>IFERROR(INDEX(손익계산서!$B:$B,MATCH($I53,손익계산서!$G:$G,0)),0)</f>
        <v>1131469</v>
      </c>
      <c r="C53" s="95">
        <f>IFERROR(INDEX(손익계산서!$C:$C,MATCH($I53,손익계산서!$G:$G,0)),0)</f>
        <v>0</v>
      </c>
      <c r="D53" s="96">
        <f t="shared" si="10"/>
        <v>5.2577640453128656E-5</v>
      </c>
      <c r="E53" s="95">
        <f>IFERROR(INDEX(손익계산서!$D:$D,MATCH($I53,손익계산서!$G:$G,0)),0)</f>
        <v>1282550</v>
      </c>
      <c r="F53" s="95">
        <f>IFERROR(INDEX(손익계산서!$E:$E,MATCH($I53,손익계산서!$G:$G,0)),0)</f>
        <v>0</v>
      </c>
      <c r="G53" s="96">
        <f t="shared" si="11"/>
        <v>3.5865777678061199E-5</v>
      </c>
      <c r="H53" t="str">
        <f t="shared" si="6"/>
        <v>외환차손</v>
      </c>
      <c r="I53" t="str">
        <f>H53&amp;"|"&amp;COUNTIF($H$9:H53,H53)</f>
        <v>외환차손|1</v>
      </c>
      <c r="J53" s="93" t="str">
        <f>IF($A53="","",IF(ISNUMBER(MATCH($I53,손익계산서!$G:$G,0)),"✓ 일치","⚠ 확인필요"))</f>
        <v>✓ 일치</v>
      </c>
      <c r="K53" s="94">
        <f t="shared" si="7"/>
        <v>1.6711862775067457E-5</v>
      </c>
    </row>
    <row r="54" spans="1:11" ht="16.5" customHeight="1">
      <c r="A54" s="67" t="s">
        <v>176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12939378</v>
      </c>
      <c r="F54" s="95">
        <f>IFERROR(INDEX(손익계산서!$E:$E,MATCH($I54,손익계산서!$G:$G,0)),0)</f>
        <v>0</v>
      </c>
      <c r="G54" s="96">
        <f t="shared" si="11"/>
        <v>3.6184230996093422E-4</v>
      </c>
      <c r="H54" t="str">
        <f t="shared" si="6"/>
        <v>외화환산손실</v>
      </c>
      <c r="I54" t="str">
        <f>H54&amp;"|"&amp;COUNTIF($H$9:H54,H54)</f>
        <v>외화환산손실|1</v>
      </c>
      <c r="J54" s="93" t="str">
        <f>IF($A54="","",IF(ISNUMBER(MATCH($I54,손익계산서!$G:$G,0)),"✓ 일치","⚠ 확인필요"))</f>
        <v>✓ 일치</v>
      </c>
      <c r="K54" s="94">
        <f t="shared" si="7"/>
        <v>-3.6184230996093422E-4</v>
      </c>
    </row>
    <row r="55" spans="1:11" ht="16.5" customHeight="1">
      <c r="A55" s="67" t="s">
        <v>177</v>
      </c>
      <c r="B55" s="95">
        <f>IFERROR(INDEX(손익계산서!$B:$B,MATCH($I55,손익계산서!$G:$G,0)),0)</f>
        <v>0</v>
      </c>
      <c r="C55" s="95">
        <f>IFERROR(INDEX(손익계산서!$C:$C,MATCH($I55,손익계산서!$G:$G,0)),0)</f>
        <v>0</v>
      </c>
      <c r="D55" s="96">
        <f t="shared" si="10"/>
        <v>0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금융상품평가손실</v>
      </c>
      <c r="I55" t="str">
        <f>H55&amp;"|"&amp;COUNTIF($H$9:H55,H55)</f>
        <v>금융상품평가손실|1</v>
      </c>
      <c r="J55" s="93" t="str">
        <f>IF($A55="","",IF(ISNUMBER(MATCH($I55,손익계산서!$G:$G,0)),"✓ 일치","⚠ 확인필요"))</f>
        <v>⚠ 확인필요</v>
      </c>
      <c r="K55" s="94">
        <f t="shared" si="7"/>
        <v>0</v>
      </c>
    </row>
    <row r="56" spans="1:11" ht="16.5" customHeight="1">
      <c r="A56" s="101" t="s">
        <v>178</v>
      </c>
      <c r="B56" s="95">
        <f>IFERROR(INDEX(손익계산서!$B:$B,MATCH($I56,손익계산서!$G:$G,0)),0)</f>
        <v>2000</v>
      </c>
      <c r="C56" s="95">
        <f>IFERROR(INDEX(손익계산서!$C:$C,MATCH($I56,손익계산서!$G:$G,0)),0)</f>
        <v>0</v>
      </c>
      <c r="D56" s="96">
        <f t="shared" si="10"/>
        <v>9.2936952675024516E-8</v>
      </c>
      <c r="E56" s="95">
        <f>IFERROR(INDEX(손익계산서!$D:$D,MATCH($I56,손익계산서!$G:$G,0)),0)</f>
        <v>0</v>
      </c>
      <c r="F56" s="95">
        <f>IFERROR(INDEX(손익계산서!$E:$E,MATCH($I56,손익계산서!$G:$G,0)),0)</f>
        <v>0</v>
      </c>
      <c r="G56" s="96">
        <f t="shared" si="11"/>
        <v>0</v>
      </c>
      <c r="H56" t="str">
        <f t="shared" si="6"/>
        <v>유형자산처분손실</v>
      </c>
      <c r="I56" t="str">
        <f>H56&amp;"|"&amp;COUNTIF($H$9:H56,H56)</f>
        <v>유형자산처분손실|1</v>
      </c>
      <c r="J56" s="93" t="str">
        <f>IF($A56="","",IF(ISNUMBER(MATCH($I56,손익계산서!$G:$G,0)),"✓ 일치","⚠ 확인필요"))</f>
        <v>✓ 일치</v>
      </c>
      <c r="K56" s="94">
        <f t="shared" si="7"/>
        <v>9.2936952675024516E-8</v>
      </c>
    </row>
    <row r="57" spans="1:11" ht="16.5" customHeight="1">
      <c r="A57" s="67" t="s">
        <v>179</v>
      </c>
      <c r="B57" s="95">
        <f>IFERROR(INDEX(손익계산서!$B:$B,MATCH($I57,손익계산서!$G:$G,0)),0)</f>
        <v>181936</v>
      </c>
      <c r="C57" s="95">
        <f>IFERROR(INDEX(손익계산서!$C:$C,MATCH($I57,손익계산서!$G:$G,0)),0)</f>
        <v>0</v>
      </c>
      <c r="D57" s="96">
        <f t="shared" si="10"/>
        <v>8.4542887109416292E-6</v>
      </c>
      <c r="E57" s="95">
        <f>IFERROR(INDEX(손익계산서!$D:$D,MATCH($I57,손익계산서!$G:$G,0)),0)</f>
        <v>306818</v>
      </c>
      <c r="F57" s="95">
        <f>IFERROR(INDEX(손익계산서!$E:$E,MATCH($I57,손익계산서!$G:$G,0)),0)</f>
        <v>0</v>
      </c>
      <c r="G57" s="96">
        <f t="shared" si="11"/>
        <v>8.5799900008790154E-6</v>
      </c>
      <c r="H57" t="str">
        <f t="shared" si="6"/>
        <v>잡손실</v>
      </c>
      <c r="I57" t="str">
        <f>H57&amp;"|"&amp;COUNTIF($H$9:H57,H57)</f>
        <v>잡손실|1</v>
      </c>
      <c r="J57" s="93" t="str">
        <f>IF($A57="","",IF(ISNUMBER(MATCH($I57,손익계산서!$G:$G,0)),"✓ 일치","⚠ 확인필요"))</f>
        <v>✓ 일치</v>
      </c>
      <c r="K57" s="94">
        <f t="shared" si="7"/>
        <v>-1.257012899373862E-7</v>
      </c>
    </row>
    <row r="58" spans="1:11" ht="17.25" customHeight="1">
      <c r="A58" s="67" t="s">
        <v>180</v>
      </c>
      <c r="B58" s="95">
        <f>IFERROR(INDEX(손익계산서!$B:$B,MATCH($I58,손익계산서!$G:$G,0)),0)</f>
        <v>0</v>
      </c>
      <c r="C58" s="95">
        <f>IFERROR(INDEX(손익계산서!$C:$C,MATCH($I58,손익계산서!$G:$G,0)),0)</f>
        <v>0</v>
      </c>
      <c r="D58" s="96">
        <f t="shared" si="10"/>
        <v>0</v>
      </c>
      <c r="E58" s="95">
        <f>IFERROR(INDEX(손익계산서!$D:$D,MATCH($I58,손익계산서!$G:$G,0)),0)</f>
        <v>0</v>
      </c>
      <c r="F58" s="95">
        <f>IFERROR(INDEX(손익계산서!$E:$E,MATCH($I58,손익계산서!$G:$G,0)),0)</f>
        <v>0</v>
      </c>
      <c r="G58" s="96">
        <f t="shared" si="11"/>
        <v>0</v>
      </c>
      <c r="H58" t="str">
        <f t="shared" si="6"/>
        <v>법인세추납액</v>
      </c>
      <c r="I58" t="str">
        <f>H58&amp;"|"&amp;COUNTIF($H$9:H58,H58)</f>
        <v>법인세추납액|1</v>
      </c>
      <c r="J58" s="93" t="str">
        <f>IF($A58="","",IF(ISNUMBER(MATCH($I58,손익계산서!$G:$G,0)),"✓ 일치","⚠ 확인필요"))</f>
        <v>⚠ 확인필요</v>
      </c>
      <c r="K58" s="94">
        <f t="shared" si="7"/>
        <v>0</v>
      </c>
    </row>
    <row r="59" spans="1:11" ht="16.5" customHeight="1">
      <c r="A59" s="74" t="s">
        <v>181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1851830746</v>
      </c>
      <c r="D59" s="92">
        <f>C59/C9</f>
        <v>8.6051753201578665E-2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1821028589</v>
      </c>
      <c r="G59" s="92">
        <f>F59/F9</f>
        <v>5.0924023639208983E-2</v>
      </c>
      <c r="H59" t="str">
        <f t="shared" si="6"/>
        <v>Ⅷ.법인세비용차감전순이익</v>
      </c>
      <c r="I59" t="str">
        <f>H59&amp;"|"&amp;COUNTIF($H$9:H59,H59)</f>
        <v>Ⅷ.법인세비용차감전순이익|1</v>
      </c>
      <c r="J59" s="93" t="str">
        <f>IF($A59="","",IF(ISNUMBER(MATCH($I59,손익계산서!$G:$G,0)),"✓ 일치","⚠ 확인필요"))</f>
        <v>✓ 일치</v>
      </c>
      <c r="K59" s="94">
        <f t="shared" si="7"/>
        <v>3.5127729562369682E-2</v>
      </c>
    </row>
    <row r="60" spans="1:11" ht="16.5" customHeight="1">
      <c r="A60" s="74" t="s">
        <v>182</v>
      </c>
      <c r="B60" s="91">
        <f>IFERROR(INDEX(손익계산서!$B:$B,MATCH($I60,손익계산서!$G:$G,0)),0)</f>
        <v>0</v>
      </c>
      <c r="C60" s="91">
        <f>IFERROR(INDEX(손익계산서!$C:$C,MATCH($I60,손익계산서!$G:$G,0)),0)</f>
        <v>0</v>
      </c>
      <c r="D60" s="92">
        <f>C60/C9</f>
        <v>0</v>
      </c>
      <c r="E60" s="91">
        <f>IFERROR(INDEX(손익계산서!$D:$D,MATCH($I60,손익계산서!$G:$G,0)),0)</f>
        <v>0</v>
      </c>
      <c r="F60" s="91">
        <f>IFERROR(INDEX(손익계산서!$E:$E,MATCH($I60,손익계산서!$G:$G,0)),0)</f>
        <v>408545770</v>
      </c>
      <c r="G60" s="92">
        <f>F60/F9</f>
        <v>1.1424748944003997E-2</v>
      </c>
      <c r="H60" t="str">
        <f t="shared" si="6"/>
        <v>Ⅸ.법인세비용</v>
      </c>
      <c r="I60" t="str">
        <f>H60&amp;"|"&amp;COUNTIF($H$9:H60,H60)</f>
        <v>Ⅸ.법인세비용|1</v>
      </c>
      <c r="J60" s="93" t="str">
        <f>IF($A60="","",IF(ISNUMBER(MATCH($I60,손익계산서!$G:$G,0)),"✓ 일치","⚠ 확인필요"))</f>
        <v>✓ 일치</v>
      </c>
      <c r="K60" s="94">
        <f t="shared" si="7"/>
        <v>-1.1424748944003997E-2</v>
      </c>
    </row>
    <row r="61" spans="1:11" ht="17.25" customHeight="1">
      <c r="A61" s="67" t="s">
        <v>183</v>
      </c>
      <c r="B61" s="95">
        <f>IFERROR(INDEX(손익계산서!$B:$B,MATCH($I61,손익계산서!$G:$G,0)),0)</f>
        <v>0</v>
      </c>
      <c r="C61" s="95">
        <f>IFERROR(INDEX(손익계산서!$C:$C,MATCH($I61,손익계산서!$G:$G,0)),0)</f>
        <v>0</v>
      </c>
      <c r="D61" s="96"/>
      <c r="E61" s="95">
        <f>IFERROR(INDEX(손익계산서!$D:$D,MATCH($I61,손익계산서!$G:$G,0)),0)</f>
        <v>408545770</v>
      </c>
      <c r="F61" s="95">
        <f>IFERROR(INDEX(손익계산서!$E:$E,MATCH($I61,손익계산서!$G:$G,0)),0)</f>
        <v>0</v>
      </c>
      <c r="G61" s="96"/>
      <c r="H61" t="str">
        <f t="shared" si="6"/>
        <v>법인세등</v>
      </c>
      <c r="I61" t="str">
        <f>H61&amp;"|"&amp;COUNTIF($H$9:H61,H61)</f>
        <v>법인세등|1</v>
      </c>
      <c r="J61" s="93" t="str">
        <f>IF($A61="","",IF(ISNUMBER(MATCH($I61,손익계산서!$G:$G,0)),"✓ 일치","⚠ 확인필요"))</f>
        <v>✓ 일치</v>
      </c>
      <c r="K61" s="94" t="str">
        <f t="shared" si="7"/>
        <v/>
      </c>
    </row>
    <row r="62" spans="1:11" ht="18.75" customHeight="1">
      <c r="A62" s="74" t="s">
        <v>184</v>
      </c>
      <c r="B62" s="91">
        <f>IFERROR(INDEX(손익계산서!$B:$B,MATCH($I62,손익계산서!$G:$G,0)),0)</f>
        <v>0</v>
      </c>
      <c r="C62" s="91">
        <f>IFERROR(INDEX(손익계산서!$C:$C,MATCH($I62,손익계산서!$G:$G,0)),0)</f>
        <v>1851830746</v>
      </c>
      <c r="D62" s="92">
        <f>C62/C9</f>
        <v>8.6051753201578665E-2</v>
      </c>
      <c r="E62" s="91">
        <f>IFERROR(INDEX(손익계산서!$D:$D,MATCH($I62,손익계산서!$G:$G,0)),0)</f>
        <v>0</v>
      </c>
      <c r="F62" s="91">
        <f>IFERROR(INDEX(손익계산서!$E:$E,MATCH($I62,손익계산서!$G:$G,0)),0)</f>
        <v>1412482819</v>
      </c>
      <c r="G62" s="92">
        <f>F62/F9</f>
        <v>3.9499274695204992E-2</v>
      </c>
      <c r="H62" t="str">
        <f t="shared" si="6"/>
        <v>Ⅹ.당기순이익</v>
      </c>
      <c r="I62" t="str">
        <f>H62&amp;"|"&amp;COUNTIF($H$9:H62,H62)</f>
        <v>Ⅹ.당기순이익|1</v>
      </c>
      <c r="J62" s="93" t="str">
        <f>IF($A62="","",IF(ISNUMBER(MATCH($I62,손익계산서!$G:$G,0)),"✓ 일치","⚠ 확인필요"))</f>
        <v>✓ 일치</v>
      </c>
      <c r="K62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verticalDpi="300" r:id="rId1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6"/>
  <sheetViews>
    <sheetView zoomScaleNormal="100" workbookViewId="0">
      <selection activeCell="A68" sqref="A68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62" t="str">
        <f>"손익계산서(전월대비 증감내역)"</f>
        <v>손익계산서(전월대비 증감내역)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4"/>
      <c r="M1" s="165"/>
    </row>
    <row r="2" spans="1:17" ht="7.5" customHeight="1"/>
    <row r="3" spans="1:17" ht="18.75" customHeight="1">
      <c r="A3" s="166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67"/>
      <c r="M3" s="154"/>
    </row>
    <row r="5" spans="1:17" ht="11.25" customHeight="1">
      <c r="A5" s="63" t="s">
        <v>41</v>
      </c>
      <c r="M5" s="103" t="s">
        <v>42</v>
      </c>
    </row>
    <row r="6" spans="1:17" ht="35.25" customHeight="1">
      <c r="A6" s="65" t="s">
        <v>43</v>
      </c>
      <c r="B6" s="65" t="s">
        <v>185</v>
      </c>
      <c r="C6" s="65" t="s">
        <v>186</v>
      </c>
      <c r="D6" s="65" t="s">
        <v>187</v>
      </c>
      <c r="E6" s="65" t="s">
        <v>188</v>
      </c>
      <c r="F6" s="65" t="s">
        <v>189</v>
      </c>
      <c r="G6" s="65" t="s">
        <v>190</v>
      </c>
      <c r="H6" s="65" t="s">
        <v>191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192</v>
      </c>
      <c r="L6" s="104" t="s">
        <v>193</v>
      </c>
      <c r="M6" s="65" t="s">
        <v>45</v>
      </c>
      <c r="P6" s="66" t="s">
        <v>48</v>
      </c>
      <c r="Q6" s="66" t="s">
        <v>15</v>
      </c>
    </row>
    <row r="7" spans="1:17" ht="22.5" customHeight="1">
      <c r="A7" s="105" t="s">
        <v>130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38" si="0">J7-I7</f>
        <v>-487209117</v>
      </c>
      <c r="L7" s="106" t="str">
        <f>IF(J7-I7&gt;0,"증가",IF(J7-I7=0,"변동없음","감소"))</f>
        <v>감소</v>
      </c>
      <c r="M7" s="107"/>
      <c r="N7" t="str">
        <f t="shared" ref="N7:N38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38" si="2">IFERROR(IF(I7=0,"",(J7-I7)/ABS(I7)),"")</f>
        <v>-0.17438616617739347</v>
      </c>
    </row>
    <row r="8" spans="1:17" ht="22.5" customHeight="1">
      <c r="A8" s="108" t="s">
        <v>131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132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133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  <v>감소</v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134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135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136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137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138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139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 t="shared" ref="L16:L55" si="3">IF(J16-I16&gt;0,"증가",IF(J16-I16=0,"변동없음","감소"))</f>
        <v>감소</v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140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 t="shared" si="3"/>
        <v>감소</v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142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 t="shared" si="3"/>
        <v>감소</v>
      </c>
      <c r="M18" s="114" t="s">
        <v>194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143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 t="str">
        <f t="shared" si="3"/>
        <v>변동없음</v>
      </c>
      <c r="M19" s="114"/>
      <c r="N19" t="str">
        <f t="shared" si="1"/>
        <v>잡급</v>
      </c>
      <c r="O19" t="str">
        <f>N19&amp;"|"&amp;COUNTIF($N$7:N19,N19)</f>
        <v>잡급|1</v>
      </c>
      <c r="P19" s="93" t="str">
        <f>IF($A19="","",IF(ISNUMBER(MATCH($O19,기간별손익계산서!$Q:$Q,0)),"✓ 일치","⚠ 확인필요"))</f>
        <v>⚠ 확인필요</v>
      </c>
      <c r="Q19" s="126" t="str">
        <f t="shared" si="2"/>
        <v/>
      </c>
    </row>
    <row r="20" spans="1:17" ht="22.5" customHeight="1">
      <c r="A20" s="108" t="s">
        <v>144</v>
      </c>
      <c r="B20" s="111">
        <f>IFERROR(INDEX(기간별손익계산서!$B:$B,MATCH($O20,기간별손익계산서!$Q:$Q,0)),0)</f>
        <v>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0</v>
      </c>
      <c r="F20" s="111">
        <f>IFERROR(INDEX(기간별손익계산서!$C:$N,MATCH($O20,기간별손익계산서!$Q:$Q,0),4),0)</f>
        <v>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0</v>
      </c>
      <c r="I20" s="95">
        <f>IFERROR(INDEX(기간별손익계산서!$C:$N,MATCH($O20,기간별손익계산서!$Q:$Q,0),MONTH(EOMONTH(인덱스!$K$1,-1))),0)</f>
        <v>0</v>
      </c>
      <c r="J20" s="95">
        <f>IFERROR(INDEX(기간별손익계산서!$C:$N,MATCH($O20,기간별손익계산서!$Q:$Q,0),MONTH(인덱스!$K$1)),0)</f>
        <v>0</v>
      </c>
      <c r="K20" s="95">
        <f t="shared" si="0"/>
        <v>0</v>
      </c>
      <c r="L20" s="113" t="str">
        <f t="shared" si="3"/>
        <v>변동없음</v>
      </c>
      <c r="M20" s="115"/>
      <c r="N20" t="str">
        <f t="shared" si="1"/>
        <v>상여금</v>
      </c>
      <c r="O20" t="str">
        <f>N20&amp;"|"&amp;COUNTIF($N$7:N20,N20)</f>
        <v>상여금|1</v>
      </c>
      <c r="P20" s="93" t="str">
        <f>IF($A20="","",IF(ISNUMBER(MATCH($O20,기간별손익계산서!$Q:$Q,0)),"✓ 일치","⚠ 확인필요"))</f>
        <v>⚠ 확인필요</v>
      </c>
      <c r="Q20" s="94" t="str">
        <f t="shared" si="2"/>
        <v/>
      </c>
    </row>
    <row r="21" spans="1:17" ht="22.5" customHeight="1">
      <c r="A21" s="108" t="s">
        <v>146</v>
      </c>
      <c r="B21" s="111">
        <f>IFERROR(INDEX(기간별손익계산서!$B:$B,MATCH($O21,기간별손익계산서!$Q:$Q,0)),0)</f>
        <v>88091340</v>
      </c>
      <c r="C21" s="111">
        <f>IFERROR(INDEX(기간별손익계산서!$C:$N,MATCH($O21,기간별손익계산서!$Q:$Q,0),1),0)</f>
        <v>0</v>
      </c>
      <c r="D21" s="111">
        <f>IFERROR(INDEX(기간별손익계산서!$C:$N,MATCH($O21,기간별손익계산서!$Q:$Q,0),2),0)</f>
        <v>0</v>
      </c>
      <c r="E21" s="111">
        <f>IFERROR(INDEX(기간별손익계산서!$C:$N,MATCH($O21,기간별손익계산서!$Q:$Q,0),3),0)</f>
        <v>2417000</v>
      </c>
      <c r="F21" s="111">
        <f>IFERROR(INDEX(기간별손익계산서!$C:$N,MATCH($O21,기간별손익계산서!$Q:$Q,0),4),0)</f>
        <v>606500</v>
      </c>
      <c r="G21" s="111">
        <f>IFERROR(INDEX(기간별손익계산서!$C:$N,MATCH($O21,기간별손익계산서!$Q:$Q,0),5),0)</f>
        <v>0</v>
      </c>
      <c r="H21" s="111">
        <f>IFERROR(INDEX(기간별손익계산서!$C:$N,MATCH($O21,기간별손익계산서!$Q:$Q,0),6),0)</f>
        <v>85067840</v>
      </c>
      <c r="I21" s="95">
        <f>IFERROR(INDEX(기간별손익계산서!$C:$N,MATCH($O21,기간별손익계산서!$Q:$Q,0),MONTH(EOMONTH(인덱스!$K$1,-1))),0)</f>
        <v>85067840</v>
      </c>
      <c r="J21" s="95">
        <f>IFERROR(INDEX(기간별손익계산서!$C:$N,MATCH($O21,기간별손익계산서!$Q:$Q,0),MONTH(인덱스!$K$1)),0)</f>
        <v>0</v>
      </c>
      <c r="K21" s="95">
        <f t="shared" si="0"/>
        <v>-85067840</v>
      </c>
      <c r="L21" s="113" t="str">
        <f t="shared" si="3"/>
        <v>감소</v>
      </c>
      <c r="M21" s="114" t="s">
        <v>195</v>
      </c>
      <c r="N21" t="str">
        <f t="shared" si="1"/>
        <v>퇴직급여</v>
      </c>
      <c r="O21" t="str">
        <f>N21&amp;"|"&amp;COUNTIF($N$7:N21,N21)</f>
        <v>퇴직급여|1</v>
      </c>
      <c r="P21" s="93" t="str">
        <f>IF($A21="","",IF(ISNUMBER(MATCH($O21,기간별손익계산서!$Q:$Q,0)),"✓ 일치","⚠ 확인필요"))</f>
        <v>✓ 일치</v>
      </c>
      <c r="Q21" s="94">
        <f t="shared" si="2"/>
        <v>-1</v>
      </c>
    </row>
    <row r="22" spans="1:17" ht="22.5" customHeight="1">
      <c r="A22" s="108" t="s">
        <v>147</v>
      </c>
      <c r="B22" s="111">
        <f>IFERROR(INDEX(기간별손익계산서!$B:$B,MATCH($O22,기간별손익계산서!$Q:$Q,0)),0)</f>
        <v>110546776</v>
      </c>
      <c r="C22" s="111">
        <f>IFERROR(INDEX(기간별손익계산서!$C:$N,MATCH($O22,기간별손익계산서!$Q:$Q,0),1),0)</f>
        <v>13491727</v>
      </c>
      <c r="D22" s="111">
        <f>IFERROR(INDEX(기간별손익계산서!$C:$N,MATCH($O22,기간별손익계산서!$Q:$Q,0),2),0)</f>
        <v>15577491</v>
      </c>
      <c r="E22" s="111">
        <f>IFERROR(INDEX(기간별손익계산서!$C:$N,MATCH($O22,기간별손익계산서!$Q:$Q,0),3),0)</f>
        <v>13132809</v>
      </c>
      <c r="F22" s="111">
        <f>IFERROR(INDEX(기간별손익계산서!$C:$N,MATCH($O22,기간별손익계산서!$Q:$Q,0),4),0)</f>
        <v>14320940</v>
      </c>
      <c r="G22" s="111">
        <f>IFERROR(INDEX(기간별손익계산서!$C:$N,MATCH($O22,기간별손익계산서!$Q:$Q,0),5),0)</f>
        <v>20159822</v>
      </c>
      <c r="H22" s="111">
        <f>IFERROR(INDEX(기간별손익계산서!$C:$N,MATCH($O22,기간별손익계산서!$Q:$Q,0),6),0)</f>
        <v>15736532</v>
      </c>
      <c r="I22" s="95">
        <f>IFERROR(INDEX(기간별손익계산서!$C:$N,MATCH($O22,기간별손익계산서!$Q:$Q,0),MONTH(EOMONTH(인덱스!$K$1,-1))),0)</f>
        <v>15736532</v>
      </c>
      <c r="J22" s="95">
        <f>IFERROR(INDEX(기간별손익계산서!$C:$N,MATCH($O22,기간별손익계산서!$Q:$Q,0),MONTH(인덱스!$K$1)),0)</f>
        <v>18127455</v>
      </c>
      <c r="K22" s="95">
        <f t="shared" si="0"/>
        <v>2390923</v>
      </c>
      <c r="L22" s="113" t="str">
        <f t="shared" si="3"/>
        <v>증가</v>
      </c>
      <c r="M22" s="115" t="s">
        <v>196</v>
      </c>
      <c r="N22" t="str">
        <f t="shared" si="1"/>
        <v>복리후생비</v>
      </c>
      <c r="O22" t="str">
        <f>N22&amp;"|"&amp;COUNTIF($N$7:N22,N22)</f>
        <v>복리후생비|1</v>
      </c>
      <c r="P22" s="93" t="str">
        <f>IF($A22="","",IF(ISNUMBER(MATCH($O22,기간별손익계산서!$Q:$Q,0)),"✓ 일치","⚠ 확인필요"))</f>
        <v>✓ 일치</v>
      </c>
      <c r="Q22" s="94">
        <f t="shared" si="2"/>
        <v>0.15193455584750185</v>
      </c>
    </row>
    <row r="23" spans="1:17" ht="22.5" customHeight="1">
      <c r="A23" s="108" t="s">
        <v>148</v>
      </c>
      <c r="B23" s="111">
        <f>IFERROR(INDEX(기간별손익계산서!$B:$B,MATCH($O23,기간별손익계산서!$Q:$Q,0)),0)</f>
        <v>7859988</v>
      </c>
      <c r="C23" s="111">
        <f>IFERROR(INDEX(기간별손익계산서!$C:$N,MATCH($O23,기간별손익계산서!$Q:$Q,0),1),0)</f>
        <v>1448900</v>
      </c>
      <c r="D23" s="111">
        <f>IFERROR(INDEX(기간별손익계산서!$C:$N,MATCH($O23,기간별손익계산서!$Q:$Q,0),2),0)</f>
        <v>380591</v>
      </c>
      <c r="E23" s="111">
        <f>IFERROR(INDEX(기간별손익계산서!$C:$N,MATCH($O23,기간별손익계산서!$Q:$Q,0),3),0)</f>
        <v>910000</v>
      </c>
      <c r="F23" s="111">
        <f>IFERROR(INDEX(기간별손익계산서!$C:$N,MATCH($O23,기간별손익계산서!$Q:$Q,0),4),0)</f>
        <v>2808322</v>
      </c>
      <c r="G23" s="111">
        <f>IFERROR(INDEX(기간별손익계산서!$C:$N,MATCH($O23,기간별손익계산서!$Q:$Q,0),5),0)</f>
        <v>925289</v>
      </c>
      <c r="H23" s="111">
        <f>IFERROR(INDEX(기간별손익계산서!$C:$N,MATCH($O23,기간별손익계산서!$Q:$Q,0),6),0)</f>
        <v>750486</v>
      </c>
      <c r="I23" s="95">
        <f>IFERROR(INDEX(기간별손익계산서!$C:$N,MATCH($O23,기간별손익계산서!$Q:$Q,0),MONTH(EOMONTH(인덱스!$K$1,-1))),0)</f>
        <v>750486</v>
      </c>
      <c r="J23" s="95">
        <f>IFERROR(INDEX(기간별손익계산서!$C:$N,MATCH($O23,기간별손익계산서!$Q:$Q,0),MONTH(인덱스!$K$1)),0)</f>
        <v>636400</v>
      </c>
      <c r="K23" s="95">
        <f t="shared" si="0"/>
        <v>-114086</v>
      </c>
      <c r="L23" s="113" t="str">
        <f t="shared" si="3"/>
        <v>감소</v>
      </c>
      <c r="M23" s="115" t="s">
        <v>197</v>
      </c>
      <c r="N23" t="str">
        <f t="shared" si="1"/>
        <v>여비교통비</v>
      </c>
      <c r="O23" t="str">
        <f>N23&amp;"|"&amp;COUNTIF($N$7:N23,N23)</f>
        <v>여비교통비|1</v>
      </c>
      <c r="P23" s="93" t="str">
        <f>IF($A23="","",IF(ISNUMBER(MATCH($O23,기간별손익계산서!$Q:$Q,0)),"✓ 일치","⚠ 확인필요"))</f>
        <v>✓ 일치</v>
      </c>
      <c r="Q23" s="94">
        <f t="shared" si="2"/>
        <v>-0.15201616019486039</v>
      </c>
    </row>
    <row r="24" spans="1:17" ht="22.5" customHeight="1">
      <c r="A24" s="108" t="s">
        <v>149</v>
      </c>
      <c r="B24" s="111">
        <f>IFERROR(INDEX(기간별손익계산서!$B:$B,MATCH($O24,기간별손익계산서!$Q:$Q,0)),0)</f>
        <v>43323349</v>
      </c>
      <c r="C24" s="111">
        <f>IFERROR(INDEX(기간별손익계산서!$C:$N,MATCH($O24,기간별손익계산서!$Q:$Q,0),1),0)</f>
        <v>2851000</v>
      </c>
      <c r="D24" s="111">
        <f>IFERROR(INDEX(기간별손익계산서!$C:$N,MATCH($O24,기간별손익계산서!$Q:$Q,0),2),0)</f>
        <v>18464450</v>
      </c>
      <c r="E24" s="111">
        <f>IFERROR(INDEX(기간별손익계산서!$C:$N,MATCH($O24,기간별손익계산서!$Q:$Q,0),3),0)</f>
        <v>3232900</v>
      </c>
      <c r="F24" s="111">
        <f>IFERROR(INDEX(기간별손익계산서!$C:$N,MATCH($O24,기간별손익계산서!$Q:$Q,0),4),0)</f>
        <v>5015657</v>
      </c>
      <c r="G24" s="111">
        <f>IFERROR(INDEX(기간별손익계산서!$C:$N,MATCH($O24,기간별손익계산서!$Q:$Q,0),5),0)</f>
        <v>3412700</v>
      </c>
      <c r="H24" s="111">
        <f>IFERROR(INDEX(기간별손익계산서!$C:$N,MATCH($O24,기간별손익계산서!$Q:$Q,0),6),0)</f>
        <v>5154220</v>
      </c>
      <c r="I24" s="95">
        <f>IFERROR(INDEX(기간별손익계산서!$C:$N,MATCH($O24,기간별손익계산서!$Q:$Q,0),MONTH(EOMONTH(인덱스!$K$1,-1))),0)</f>
        <v>5154220</v>
      </c>
      <c r="J24" s="95">
        <f>IFERROR(INDEX(기간별손익계산서!$C:$N,MATCH($O24,기간별손익계산서!$Q:$Q,0),MONTH(인덱스!$K$1)),0)</f>
        <v>5192422</v>
      </c>
      <c r="K24" s="95">
        <f t="shared" si="0"/>
        <v>38202</v>
      </c>
      <c r="L24" s="113" t="str">
        <f t="shared" si="3"/>
        <v>증가</v>
      </c>
      <c r="M24" s="115"/>
      <c r="N24" t="str">
        <f t="shared" si="1"/>
        <v>접대비</v>
      </c>
      <c r="O24" t="str">
        <f>N24&amp;"|"&amp;COUNTIF($N$7:N24,N24)</f>
        <v>접대비|1</v>
      </c>
      <c r="P24" s="93" t="str">
        <f>IF($A24="","",IF(ISNUMBER(MATCH($O24,기간별손익계산서!$Q:$Q,0)),"✓ 일치","⚠ 확인필요"))</f>
        <v>✓ 일치</v>
      </c>
      <c r="Q24" s="94">
        <f t="shared" si="2"/>
        <v>7.4117907268219053E-3</v>
      </c>
    </row>
    <row r="25" spans="1:17" ht="22.5" customHeight="1">
      <c r="A25" s="108" t="s">
        <v>150</v>
      </c>
      <c r="B25" s="111">
        <f>IFERROR(INDEX(기간별손익계산서!$B:$B,MATCH($O25,기간별손익계산서!$Q:$Q,0)),0)</f>
        <v>10884279</v>
      </c>
      <c r="C25" s="111">
        <f>IFERROR(INDEX(기간별손익계산서!$C:$N,MATCH($O25,기간별손익계산서!$Q:$Q,0),1),0)</f>
        <v>1553614</v>
      </c>
      <c r="D25" s="111">
        <f>IFERROR(INDEX(기간별손익계산서!$C:$N,MATCH($O25,기간별손익계산서!$Q:$Q,0),2),0)</f>
        <v>1548550</v>
      </c>
      <c r="E25" s="111">
        <f>IFERROR(INDEX(기간별손익계산서!$C:$N,MATCH($O25,기간별손익계산서!$Q:$Q,0),3),0)</f>
        <v>1543792</v>
      </c>
      <c r="F25" s="111">
        <f>IFERROR(INDEX(기간별손익계산서!$C:$N,MATCH($O25,기간별손익계산서!$Q:$Q,0),4),0)</f>
        <v>1551170</v>
      </c>
      <c r="G25" s="111">
        <f>IFERROR(INDEX(기간별손익계산서!$C:$N,MATCH($O25,기간별손익계산서!$Q:$Q,0),5),0)</f>
        <v>1610738</v>
      </c>
      <c r="H25" s="111">
        <f>IFERROR(INDEX(기간별손익계산서!$C:$N,MATCH($O25,기간별손익계산서!$Q:$Q,0),6),0)</f>
        <v>1566533</v>
      </c>
      <c r="I25" s="95">
        <f>IFERROR(INDEX(기간별손익계산서!$C:$N,MATCH($O25,기간별손익계산서!$Q:$Q,0),MONTH(EOMONTH(인덱스!$K$1,-1))),0)</f>
        <v>1566533</v>
      </c>
      <c r="J25" s="95">
        <f>IFERROR(INDEX(기간별손익계산서!$C:$N,MATCH($O25,기간별손익계산서!$Q:$Q,0),MONTH(인덱스!$K$1)),0)</f>
        <v>1509882</v>
      </c>
      <c r="K25" s="95">
        <f t="shared" si="0"/>
        <v>-56651</v>
      </c>
      <c r="L25" s="113" t="str">
        <f t="shared" si="3"/>
        <v>감소</v>
      </c>
      <c r="M25" s="115" t="s">
        <v>198</v>
      </c>
      <c r="N25" t="str">
        <f t="shared" si="1"/>
        <v>통신비</v>
      </c>
      <c r="O25" t="str">
        <f>N25&amp;"|"&amp;COUNTIF($N$7:N25,N25)</f>
        <v>통신비|1</v>
      </c>
      <c r="P25" s="93" t="str">
        <f>IF($A25="","",IF(ISNUMBER(MATCH($O25,기간별손익계산서!$Q:$Q,0)),"✓ 일치","⚠ 확인필요"))</f>
        <v>✓ 일치</v>
      </c>
      <c r="Q25" s="94">
        <f t="shared" si="2"/>
        <v>-3.6163298187781551E-2</v>
      </c>
    </row>
    <row r="26" spans="1:17" ht="22.5" customHeight="1">
      <c r="A26" s="108" t="s">
        <v>151</v>
      </c>
      <c r="B26" s="111">
        <f>IFERROR(INDEX(기간별손익계산서!$B:$B,MATCH($O26,기간별손익계산서!$Q:$Q,0)),0)</f>
        <v>658900</v>
      </c>
      <c r="C26" s="111">
        <f>IFERROR(INDEX(기간별손익계산서!$C:$N,MATCH($O26,기간별손익계산서!$Q:$Q,0),1),0)</f>
        <v>416690</v>
      </c>
      <c r="D26" s="111">
        <f>IFERROR(INDEX(기간별손익계산서!$C:$N,MATCH($O26,기간별손익계산서!$Q:$Q,0),2),0)</f>
        <v>36590</v>
      </c>
      <c r="E26" s="111">
        <f>IFERROR(INDEX(기간별손익계산서!$C:$N,MATCH($O26,기간별손익계산서!$Q:$Q,0),3),0)</f>
        <v>55710</v>
      </c>
      <c r="F26" s="111">
        <f>IFERROR(INDEX(기간별손익계산서!$C:$N,MATCH($O26,기간별손익계산서!$Q:$Q,0),4),0)</f>
        <v>31410</v>
      </c>
      <c r="G26" s="111">
        <f>IFERROR(INDEX(기간별손익계산서!$C:$N,MATCH($O26,기간별손익계산서!$Q:$Q,0),5),0)</f>
        <v>41020</v>
      </c>
      <c r="H26" s="111">
        <f>IFERROR(INDEX(기간별손익계산서!$C:$N,MATCH($O26,기간별손익계산서!$Q:$Q,0),6),0)</f>
        <v>30840</v>
      </c>
      <c r="I26" s="95">
        <f>IFERROR(INDEX(기간별손익계산서!$C:$N,MATCH($O26,기간별손익계산서!$Q:$Q,0),MONTH(EOMONTH(인덱스!$K$1,-1))),0)</f>
        <v>30840</v>
      </c>
      <c r="J26" s="95">
        <f>IFERROR(INDEX(기간별손익계산서!$C:$N,MATCH($O26,기간별손익계산서!$Q:$Q,0),MONTH(인덱스!$K$1)),0)</f>
        <v>46640</v>
      </c>
      <c r="K26" s="95">
        <f t="shared" si="0"/>
        <v>15800</v>
      </c>
      <c r="L26" s="113" t="str">
        <f t="shared" si="3"/>
        <v>증가</v>
      </c>
      <c r="M26" s="115" t="s">
        <v>199</v>
      </c>
      <c r="N26" t="str">
        <f t="shared" si="1"/>
        <v>수도광열비</v>
      </c>
      <c r="O26" t="str">
        <f>N26&amp;"|"&amp;COUNTIF($N$7:N26,N26)</f>
        <v>수도광열비|1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0.51232166018158232</v>
      </c>
    </row>
    <row r="27" spans="1:17" ht="23.25" customHeight="1">
      <c r="A27" s="108" t="s">
        <v>152</v>
      </c>
      <c r="B27" s="111">
        <f>IFERROR(INDEX(기간별손익계산서!$B:$B,MATCH($O27,기간별손익계산서!$Q:$Q,0)),0)</f>
        <v>9937528</v>
      </c>
      <c r="C27" s="111">
        <f>IFERROR(INDEX(기간별손익계산서!$C:$N,MATCH($O27,기간별손익계산서!$Q:$Q,0),1),0)</f>
        <v>1750221</v>
      </c>
      <c r="D27" s="111">
        <f>IFERROR(INDEX(기간별손익계산서!$C:$N,MATCH($O27,기간별손익계산서!$Q:$Q,0),2),0)</f>
        <v>2188166</v>
      </c>
      <c r="E27" s="111">
        <f>IFERROR(INDEX(기간별손익계산서!$C:$N,MATCH($O27,기간별손익계산서!$Q:$Q,0),3),0)</f>
        <v>1608472</v>
      </c>
      <c r="F27" s="111">
        <f>IFERROR(INDEX(기간별손익계산서!$C:$N,MATCH($O27,기간별손익계산서!$Q:$Q,0),4),0)</f>
        <v>1205192</v>
      </c>
      <c r="G27" s="111">
        <f>IFERROR(INDEX(기간별손익계산서!$C:$N,MATCH($O27,기간별손익계산서!$Q:$Q,0),5),0)</f>
        <v>974835</v>
      </c>
      <c r="H27" s="111">
        <f>IFERROR(INDEX(기간별손익계산서!$C:$N,MATCH($O27,기간별손익계산서!$Q:$Q,0),6),0)</f>
        <v>958881</v>
      </c>
      <c r="I27" s="95">
        <f>IFERROR(INDEX(기간별손익계산서!$C:$N,MATCH($O27,기간별손익계산서!$Q:$Q,0),MONTH(EOMONTH(인덱스!$K$1,-1))),0)</f>
        <v>958881</v>
      </c>
      <c r="J27" s="95">
        <f>IFERROR(INDEX(기간별손익계산서!$C:$N,MATCH($O27,기간별손익계산서!$Q:$Q,0),MONTH(인덱스!$K$1)),0)</f>
        <v>1251761</v>
      </c>
      <c r="K27" s="95">
        <f t="shared" si="0"/>
        <v>292880</v>
      </c>
      <c r="L27" s="113" t="str">
        <f t="shared" si="3"/>
        <v>증가</v>
      </c>
      <c r="M27" s="115" t="s">
        <v>200</v>
      </c>
      <c r="N27" t="str">
        <f t="shared" si="1"/>
        <v>전력비</v>
      </c>
      <c r="O27" t="str">
        <f>N27&amp;"|"&amp;COUNTIF($N$7:N27,N27)</f>
        <v>전력비|1</v>
      </c>
      <c r="P27" s="93" t="str">
        <f>IF($A27="","",IF(ISNUMBER(MATCH($O27,기간별손익계산서!$Q:$Q,0)),"✓ 일치","⚠ 확인필요"))</f>
        <v>✓ 일치</v>
      </c>
      <c r="Q27" s="94">
        <f t="shared" si="2"/>
        <v>0.30543936108860226</v>
      </c>
    </row>
    <row r="28" spans="1:17" ht="22.5" customHeight="1">
      <c r="A28" s="108" t="s">
        <v>153</v>
      </c>
      <c r="B28" s="111">
        <f>IFERROR(INDEX(기간별손익계산서!$B:$B,MATCH($O28,기간별손익계산서!$Q:$Q,0)),0)</f>
        <v>61818760</v>
      </c>
      <c r="C28" s="111">
        <f>IFERROR(INDEX(기간별손익계산서!$C:$N,MATCH($O28,기간별손익계산서!$Q:$Q,0),1),0)</f>
        <v>13653600</v>
      </c>
      <c r="D28" s="111">
        <f>IFERROR(INDEX(기간별손익계산서!$C:$N,MATCH($O28,기간별손익계산서!$Q:$Q,0),2),0)</f>
        <v>6982700</v>
      </c>
      <c r="E28" s="111">
        <f>IFERROR(INDEX(기간별손익계산서!$C:$N,MATCH($O28,기간별손익계산서!$Q:$Q,0),3),0)</f>
        <v>7010270</v>
      </c>
      <c r="F28" s="111">
        <f>IFERROR(INDEX(기간별손익계산서!$C:$N,MATCH($O28,기간별손익계산서!$Q:$Q,0),4),0)</f>
        <v>7048100</v>
      </c>
      <c r="G28" s="111">
        <f>IFERROR(INDEX(기간별손익계산서!$C:$N,MATCH($O28,기간별손익계산서!$Q:$Q,0),5),0)</f>
        <v>7143360</v>
      </c>
      <c r="H28" s="111">
        <f>IFERROR(INDEX(기간별손익계산서!$C:$N,MATCH($O28,기간별손익계산서!$Q:$Q,0),6),0)</f>
        <v>10475430</v>
      </c>
      <c r="I28" s="95">
        <f>IFERROR(INDEX(기간별손익계산서!$C:$N,MATCH($O28,기간별손익계산서!$Q:$Q,0),MONTH(EOMONTH(인덱스!$K$1,-1))),0)</f>
        <v>10475430</v>
      </c>
      <c r="J28" s="95">
        <f>IFERROR(INDEX(기간별손익계산서!$C:$N,MATCH($O28,기간별손익계산서!$Q:$Q,0),MONTH(인덱스!$K$1)),0)</f>
        <v>9505300</v>
      </c>
      <c r="K28" s="95">
        <f t="shared" si="0"/>
        <v>-970130</v>
      </c>
      <c r="L28" s="113" t="str">
        <f t="shared" si="3"/>
        <v>감소</v>
      </c>
      <c r="M28" s="115" t="s">
        <v>201</v>
      </c>
      <c r="N28" t="str">
        <f t="shared" si="1"/>
        <v>세금과공과금</v>
      </c>
      <c r="O28" t="str">
        <f>N28&amp;"|"&amp;COUNTIF($N$7:N28,N28)</f>
        <v>세금과공과금|1</v>
      </c>
      <c r="P28" s="93" t="str">
        <f>IF($A28="","",IF(ISNUMBER(MATCH($O28,기간별손익계산서!$Q:$Q,0)),"✓ 일치","⚠ 확인필요"))</f>
        <v>✓ 일치</v>
      </c>
      <c r="Q28" s="94">
        <f t="shared" si="2"/>
        <v>-9.2610040828872892E-2</v>
      </c>
    </row>
    <row r="29" spans="1:17" ht="22.5" customHeight="1">
      <c r="A29" s="108" t="s">
        <v>154</v>
      </c>
      <c r="B29" s="111">
        <f>IFERROR(INDEX(기간별손익계산서!$B:$B,MATCH($O29,기간별손익계산서!$Q:$Q,0)),0)</f>
        <v>71625807</v>
      </c>
      <c r="C29" s="111">
        <f>IFERROR(INDEX(기간별손익계산서!$C:$N,MATCH($O29,기간별손익계산서!$Q:$Q,0),1),0)</f>
        <v>8823402</v>
      </c>
      <c r="D29" s="111">
        <f>IFERROR(INDEX(기간별손익계산서!$C:$N,MATCH($O29,기간별손익계산서!$Q:$Q,0),2),0)</f>
        <v>8823244</v>
      </c>
      <c r="E29" s="111">
        <f>IFERROR(INDEX(기간별손익계산서!$C:$N,MATCH($O29,기간별손익계산서!$Q:$Q,0),3),0)</f>
        <v>8823244</v>
      </c>
      <c r="F29" s="111">
        <f>IFERROR(INDEX(기간별손익계산서!$C:$N,MATCH($O29,기간별손익계산서!$Q:$Q,0),4),0)</f>
        <v>10167968</v>
      </c>
      <c r="G29" s="111">
        <f>IFERROR(INDEX(기간별손익계산서!$C:$N,MATCH($O29,기간별손익계산서!$Q:$Q,0),5),0)</f>
        <v>11662651</v>
      </c>
      <c r="H29" s="111">
        <f>IFERROR(INDEX(기간별손익계산서!$C:$N,MATCH($O29,기간별손익계산서!$Q:$Q,0),6),0)</f>
        <v>11662649</v>
      </c>
      <c r="I29" s="95">
        <f>IFERROR(INDEX(기간별손익계산서!$C:$N,MATCH($O29,기간별손익계산서!$Q:$Q,0),MONTH(EOMONTH(인덱스!$K$1,-1))),0)</f>
        <v>11662649</v>
      </c>
      <c r="J29" s="95">
        <f>IFERROR(INDEX(기간별손익계산서!$C:$N,MATCH($O29,기간별손익계산서!$Q:$Q,0),MONTH(인덱스!$K$1)),0)</f>
        <v>11662649</v>
      </c>
      <c r="K29" s="95">
        <f t="shared" si="0"/>
        <v>0</v>
      </c>
      <c r="L29" s="113" t="str">
        <f t="shared" si="3"/>
        <v>변동없음</v>
      </c>
      <c r="M29" s="115" t="s">
        <v>202</v>
      </c>
      <c r="N29" t="str">
        <f t="shared" si="1"/>
        <v>감가상각비</v>
      </c>
      <c r="O29" t="str">
        <f>N29&amp;"|"&amp;COUNTIF($N$7:N29,N29)</f>
        <v>감가상각비|1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155</v>
      </c>
      <c r="B30" s="111">
        <f>IFERROR(INDEX(기간별손익계산서!$B:$B,MATCH($O30,기간별손익계산서!$Q:$Q,0)),0)</f>
        <v>94500000</v>
      </c>
      <c r="C30" s="111">
        <f>IFERROR(INDEX(기간별손익계산서!$C:$N,MATCH($O30,기간별손익계산서!$Q:$Q,0),1),0)</f>
        <v>13500000</v>
      </c>
      <c r="D30" s="111">
        <f>IFERROR(INDEX(기간별손익계산서!$C:$N,MATCH($O30,기간별손익계산서!$Q:$Q,0),2),0)</f>
        <v>13500000</v>
      </c>
      <c r="E30" s="111">
        <f>IFERROR(INDEX(기간별손익계산서!$C:$N,MATCH($O30,기간별손익계산서!$Q:$Q,0),3),0)</f>
        <v>13500000</v>
      </c>
      <c r="F30" s="111">
        <f>IFERROR(INDEX(기간별손익계산서!$C:$N,MATCH($O30,기간별손익계산서!$Q:$Q,0),4),0)</f>
        <v>13500000</v>
      </c>
      <c r="G30" s="111">
        <f>IFERROR(INDEX(기간별손익계산서!$C:$N,MATCH($O30,기간별손익계산서!$Q:$Q,0),5),0)</f>
        <v>13500000</v>
      </c>
      <c r="H30" s="111">
        <f>IFERROR(INDEX(기간별손익계산서!$C:$N,MATCH($O30,기간별손익계산서!$Q:$Q,0),6),0)</f>
        <v>13500000</v>
      </c>
      <c r="I30" s="95">
        <f>IFERROR(INDEX(기간별손익계산서!$C:$N,MATCH($O30,기간별손익계산서!$Q:$Q,0),MONTH(EOMONTH(인덱스!$K$1,-1))),0)</f>
        <v>13500000</v>
      </c>
      <c r="J30" s="95">
        <f>IFERROR(INDEX(기간별손익계산서!$C:$N,MATCH($O30,기간별손익계산서!$Q:$Q,0),MONTH(인덱스!$K$1)),0)</f>
        <v>13500000</v>
      </c>
      <c r="K30" s="95">
        <f t="shared" si="0"/>
        <v>0</v>
      </c>
      <c r="L30" s="113" t="str">
        <f t="shared" si="3"/>
        <v>변동없음</v>
      </c>
      <c r="M30" s="115" t="s">
        <v>203</v>
      </c>
      <c r="N30" t="str">
        <f t="shared" si="1"/>
        <v>지급임차료</v>
      </c>
      <c r="O30" t="str">
        <f>N30&amp;"|"&amp;COUNTIF($N$7:N30,N30)</f>
        <v>지급임차료|1</v>
      </c>
      <c r="P30" s="93" t="str">
        <f>IF($A30="","",IF(ISNUMBER(MATCH($O30,기간별손익계산서!$Q:$Q,0)),"✓ 일치","⚠ 확인필요"))</f>
        <v>✓ 일치</v>
      </c>
      <c r="Q30" s="94">
        <f t="shared" si="2"/>
        <v>0</v>
      </c>
    </row>
    <row r="31" spans="1:17" ht="22.5" customHeight="1">
      <c r="A31" s="108" t="s">
        <v>156</v>
      </c>
      <c r="B31" s="111">
        <f>IFERROR(INDEX(기간별손익계산서!$B:$B,MATCH($O31,기간별손익계산서!$Q:$Q,0)),0)</f>
        <v>48751589</v>
      </c>
      <c r="C31" s="111">
        <f>IFERROR(INDEX(기간별손익계산서!$C:$N,MATCH($O31,기간별손익계산서!$Q:$Q,0),1),0)</f>
        <v>15663708</v>
      </c>
      <c r="D31" s="111">
        <f>IFERROR(INDEX(기간별손익계산서!$C:$N,MATCH($O31,기간별손익계산서!$Q:$Q,0),2),0)</f>
        <v>5397377</v>
      </c>
      <c r="E31" s="111">
        <f>IFERROR(INDEX(기간별손익계산서!$C:$N,MATCH($O31,기간별손익계산서!$Q:$Q,0),3),0)</f>
        <v>10141505</v>
      </c>
      <c r="F31" s="111">
        <f>IFERROR(INDEX(기간별손익계산서!$C:$N,MATCH($O31,기간별손익계산서!$Q:$Q,0),4),0)</f>
        <v>4254552</v>
      </c>
      <c r="G31" s="111">
        <f>IFERROR(INDEX(기간별손익계산서!$C:$N,MATCH($O31,기간별손익계산서!$Q:$Q,0),5),0)</f>
        <v>5965087</v>
      </c>
      <c r="H31" s="111">
        <f>IFERROR(INDEX(기간별손익계산서!$C:$N,MATCH($O31,기간별손익계산서!$Q:$Q,0),6),0)</f>
        <v>4097930</v>
      </c>
      <c r="I31" s="95">
        <f>IFERROR(INDEX(기간별손익계산서!$C:$N,MATCH($O31,기간별손익계산서!$Q:$Q,0),MONTH(EOMONTH(인덱스!$K$1,-1))),0)</f>
        <v>4097930</v>
      </c>
      <c r="J31" s="95">
        <f>IFERROR(INDEX(기간별손익계산서!$C:$N,MATCH($O31,기간별손익계산서!$Q:$Q,0),MONTH(인덱스!$K$1)),0)</f>
        <v>3231430</v>
      </c>
      <c r="K31" s="95">
        <f t="shared" si="0"/>
        <v>-866500</v>
      </c>
      <c r="L31" s="113" t="str">
        <f t="shared" si="3"/>
        <v>감소</v>
      </c>
      <c r="M31" s="115" t="s">
        <v>204</v>
      </c>
      <c r="N31" t="str">
        <f t="shared" si="1"/>
        <v>보험료</v>
      </c>
      <c r="O31" t="str">
        <f>N31&amp;"|"&amp;COUNTIF($N$7:N31,N31)</f>
        <v>보험료|1</v>
      </c>
      <c r="P31" s="93" t="str">
        <f>IF($A31="","",IF(ISNUMBER(MATCH($O31,기간별손익계산서!$Q:$Q,0)),"✓ 일치","⚠ 확인필요"))</f>
        <v>✓ 일치</v>
      </c>
      <c r="Q31" s="94">
        <f t="shared" si="2"/>
        <v>-0.2114482189788503</v>
      </c>
    </row>
    <row r="32" spans="1:17" ht="22.5" customHeight="1">
      <c r="A32" s="108" t="s">
        <v>157</v>
      </c>
      <c r="B32" s="111">
        <f>IFERROR(INDEX(기간별손익계산서!$B:$B,MATCH($O32,기간별손익계산서!$Q:$Q,0)),0)</f>
        <v>155024259</v>
      </c>
      <c r="C32" s="111">
        <f>IFERROR(INDEX(기간별손익계산서!$C:$N,MATCH($O32,기간별손익계산서!$Q:$Q,0),1),0)</f>
        <v>19333975</v>
      </c>
      <c r="D32" s="111">
        <f>IFERROR(INDEX(기간별손익계산서!$C:$N,MATCH($O32,기간별손익계산서!$Q:$Q,0),2),0)</f>
        <v>17873186</v>
      </c>
      <c r="E32" s="111">
        <f>IFERROR(INDEX(기간별손익계산서!$C:$N,MATCH($O32,기간별손익계산서!$Q:$Q,0),3),0)</f>
        <v>20774039</v>
      </c>
      <c r="F32" s="111">
        <f>IFERROR(INDEX(기간별손익계산서!$C:$N,MATCH($O32,기간별손익계산서!$Q:$Q,0),4),0)</f>
        <v>28171664</v>
      </c>
      <c r="G32" s="111">
        <f>IFERROR(INDEX(기간별손익계산서!$C:$N,MATCH($O32,기간별손익계산서!$Q:$Q,0),5),0)</f>
        <v>19541338</v>
      </c>
      <c r="H32" s="111">
        <f>IFERROR(INDEX(기간별손익계산서!$C:$N,MATCH($O32,기간별손익계산서!$Q:$Q,0),6),0)</f>
        <v>23455020</v>
      </c>
      <c r="I32" s="95">
        <f>IFERROR(INDEX(기간별손익계산서!$C:$N,MATCH($O32,기간별손익계산서!$Q:$Q,0),MONTH(EOMONTH(인덱스!$K$1,-1))),0)</f>
        <v>23455020</v>
      </c>
      <c r="J32" s="95">
        <f>IFERROR(INDEX(기간별손익계산서!$C:$N,MATCH($O32,기간별손익계산서!$Q:$Q,0),MONTH(인덱스!$K$1)),0)</f>
        <v>25875037</v>
      </c>
      <c r="K32" s="95">
        <f t="shared" si="0"/>
        <v>2420017</v>
      </c>
      <c r="L32" s="113" t="str">
        <f t="shared" si="3"/>
        <v>증가</v>
      </c>
      <c r="M32" s="115" t="s">
        <v>205</v>
      </c>
      <c r="N32" t="str">
        <f t="shared" si="1"/>
        <v>차량유지비</v>
      </c>
      <c r="O32" t="str">
        <f>N32&amp;"|"&amp;COUNTIF($N$7:N32,N32)</f>
        <v>차량유지비|1</v>
      </c>
      <c r="P32" s="93" t="str">
        <f>IF($A32="","",IF(ISNUMBER(MATCH($O32,기간별손익계산서!$Q:$Q,0)),"✓ 일치","⚠ 확인필요"))</f>
        <v>✓ 일치</v>
      </c>
      <c r="Q32" s="94">
        <f t="shared" si="2"/>
        <v>0.10317693184657271</v>
      </c>
    </row>
    <row r="33" spans="1:17" ht="22.5" customHeight="1">
      <c r="A33" s="108" t="s">
        <v>158</v>
      </c>
      <c r="B33" s="111">
        <f>IFERROR(INDEX(기간별손익계산서!$B:$B,MATCH($O33,기간별손익계산서!$Q:$Q,0)),0)</f>
        <v>11781419</v>
      </c>
      <c r="C33" s="111">
        <f>IFERROR(INDEX(기간별손익계산서!$C:$N,MATCH($O33,기간별손익계산서!$Q:$Q,0),1),0)</f>
        <v>1774119</v>
      </c>
      <c r="D33" s="111">
        <f>IFERROR(INDEX(기간별손익계산서!$C:$N,MATCH($O33,기간별손익계산서!$Q:$Q,0),2),0)</f>
        <v>1290155</v>
      </c>
      <c r="E33" s="111">
        <f>IFERROR(INDEX(기간별손익계산서!$C:$N,MATCH($O33,기간별손익계산서!$Q:$Q,0),3),0)</f>
        <v>1536718</v>
      </c>
      <c r="F33" s="111">
        <f>IFERROR(INDEX(기간별손익계산서!$C:$N,MATCH($O33,기간별손익계산서!$Q:$Q,0),4),0)</f>
        <v>2736936</v>
      </c>
      <c r="G33" s="111">
        <f>IFERROR(INDEX(기간별손익계산서!$C:$N,MATCH($O33,기간별손익계산서!$Q:$Q,0),5),0)</f>
        <v>1154891</v>
      </c>
      <c r="H33" s="111">
        <f>IFERROR(INDEX(기간별손익계산서!$C:$N,MATCH($O33,기간별손익계산서!$Q:$Q,0),6),0)</f>
        <v>2250264</v>
      </c>
      <c r="I33" s="95">
        <f>IFERROR(INDEX(기간별손익계산서!$C:$N,MATCH($O33,기간별손익계산서!$Q:$Q,0),MONTH(EOMONTH(인덱스!$K$1,-1))),0)</f>
        <v>2250264</v>
      </c>
      <c r="J33" s="95">
        <f>IFERROR(INDEX(기간별손익계산서!$C:$N,MATCH($O33,기간별손익계산서!$Q:$Q,0),MONTH(인덱스!$K$1)),0)</f>
        <v>1038336</v>
      </c>
      <c r="K33" s="95">
        <f t="shared" si="0"/>
        <v>-1211928</v>
      </c>
      <c r="L33" s="113" t="str">
        <f t="shared" si="3"/>
        <v>감소</v>
      </c>
      <c r="M33" s="115" t="s">
        <v>206</v>
      </c>
      <c r="N33" t="str">
        <f t="shared" si="1"/>
        <v>운반비</v>
      </c>
      <c r="O33" t="str">
        <f>N33&amp;"|"&amp;COUNTIF($N$7:N33,N33)</f>
        <v>운반비|1</v>
      </c>
      <c r="P33" s="93" t="str">
        <f>IF($A33="","",IF(ISNUMBER(MATCH($O33,기간별손익계산서!$Q:$Q,0)),"✓ 일치","⚠ 확인필요"))</f>
        <v>✓ 일치</v>
      </c>
      <c r="Q33" s="94">
        <f t="shared" si="2"/>
        <v>-0.53857147428035113</v>
      </c>
    </row>
    <row r="34" spans="1:17" ht="22.5" customHeight="1">
      <c r="A34" s="108" t="s">
        <v>159</v>
      </c>
      <c r="B34" s="111">
        <f>IFERROR(INDEX(기간별손익계산서!$B:$B,MATCH($O34,기간별손익계산서!$Q:$Q,0)),0)</f>
        <v>0</v>
      </c>
      <c r="C34" s="111">
        <f>IFERROR(INDEX(기간별손익계산서!$C:$N,MATCH($O34,기간별손익계산서!$Q:$Q,0),1),0)</f>
        <v>0</v>
      </c>
      <c r="D34" s="111">
        <f>IFERROR(INDEX(기간별손익계산서!$C:$N,MATCH($O34,기간별손익계산서!$Q:$Q,0),2),0)</f>
        <v>0</v>
      </c>
      <c r="E34" s="111">
        <f>IFERROR(INDEX(기간별손익계산서!$C:$N,MATCH($O34,기간별손익계산서!$Q:$Q,0),3),0)</f>
        <v>0</v>
      </c>
      <c r="F34" s="111">
        <f>IFERROR(INDEX(기간별손익계산서!$C:$N,MATCH($O34,기간별손익계산서!$Q:$Q,0),4),0)</f>
        <v>0</v>
      </c>
      <c r="G34" s="111">
        <f>IFERROR(INDEX(기간별손익계산서!$C:$N,MATCH($O34,기간별손익계산서!$Q:$Q,0),5),0)</f>
        <v>0</v>
      </c>
      <c r="H34" s="111">
        <f>IFERROR(INDEX(기간별손익계산서!$C:$N,MATCH($O34,기간별손익계산서!$Q:$Q,0),6),0)</f>
        <v>0</v>
      </c>
      <c r="I34" s="95">
        <f>IFERROR(INDEX(기간별손익계산서!$C:$N,MATCH($O34,기간별손익계산서!$Q:$Q,0),MONTH(EOMONTH(인덱스!$K$1,-1))),0)</f>
        <v>0</v>
      </c>
      <c r="J34" s="95">
        <f>IFERROR(INDEX(기간별손익계산서!$C:$N,MATCH($O34,기간별손익계산서!$Q:$Q,0),MONTH(인덱스!$K$1)),0)</f>
        <v>0</v>
      </c>
      <c r="K34" s="95">
        <f t="shared" si="0"/>
        <v>0</v>
      </c>
      <c r="L34" s="113" t="str">
        <f t="shared" si="3"/>
        <v>변동없음</v>
      </c>
      <c r="M34" s="115" t="s">
        <v>207</v>
      </c>
      <c r="N34" t="str">
        <f t="shared" si="1"/>
        <v>포장비</v>
      </c>
      <c r="O34" t="str">
        <f>N34&amp;"|"&amp;COUNTIF($N$7:N34,N34)</f>
        <v>포장비|1</v>
      </c>
      <c r="P34" s="93" t="str">
        <f>IF($A34="","",IF(ISNUMBER(MATCH($O34,기간별손익계산서!$Q:$Q,0)),"✓ 일치","⚠ 확인필요"))</f>
        <v>⚠ 확인필요</v>
      </c>
      <c r="Q34" s="94" t="str">
        <f t="shared" si="2"/>
        <v/>
      </c>
    </row>
    <row r="35" spans="1:17" ht="26.25" customHeight="1">
      <c r="A35" s="108" t="s">
        <v>160</v>
      </c>
      <c r="B35" s="111">
        <f>IFERROR(INDEX(기간별손익계산서!$B:$B,MATCH($O35,기간별손익계산서!$Q:$Q,0)),0)</f>
        <v>18876205</v>
      </c>
      <c r="C35" s="111">
        <f>IFERROR(INDEX(기간별손익계산서!$C:$N,MATCH($O35,기간별손익계산서!$Q:$Q,0),1),0)</f>
        <v>2445379</v>
      </c>
      <c r="D35" s="111">
        <f>IFERROR(INDEX(기간별손익계산서!$C:$N,MATCH($O35,기간별손익계산서!$Q:$Q,0),2),0)</f>
        <v>683732</v>
      </c>
      <c r="E35" s="111">
        <f>IFERROR(INDEX(기간별손익계산서!$C:$N,MATCH($O35,기간별손익계산서!$Q:$Q,0),3),0)</f>
        <v>3596924</v>
      </c>
      <c r="F35" s="111">
        <f>IFERROR(INDEX(기간별손익계산서!$C:$N,MATCH($O35,기간별손익계산서!$Q:$Q,0),4),0)</f>
        <v>1948321</v>
      </c>
      <c r="G35" s="111">
        <f>IFERROR(INDEX(기간별손익계산서!$C:$N,MATCH($O35,기간별손익계산서!$Q:$Q,0),5),0)</f>
        <v>3037487</v>
      </c>
      <c r="H35" s="111">
        <f>IFERROR(INDEX(기간별손익계산서!$C:$N,MATCH($O35,기간별손익계산서!$Q:$Q,0),6),0)</f>
        <v>1602097</v>
      </c>
      <c r="I35" s="95">
        <f>IFERROR(INDEX(기간별손익계산서!$C:$N,MATCH($O35,기간별손익계산서!$Q:$Q,0),MONTH(EOMONTH(인덱스!$K$1,-1))),0)</f>
        <v>1602097</v>
      </c>
      <c r="J35" s="95">
        <f>IFERROR(INDEX(기간별손익계산서!$C:$N,MATCH($O35,기간별손익계산서!$Q:$Q,0),MONTH(인덱스!$K$1)),0)</f>
        <v>5562265</v>
      </c>
      <c r="K35" s="95">
        <f t="shared" si="0"/>
        <v>3960168</v>
      </c>
      <c r="L35" s="113" t="str">
        <f t="shared" si="3"/>
        <v>증가</v>
      </c>
      <c r="M35" s="115" t="s">
        <v>208</v>
      </c>
      <c r="N35" t="str">
        <f t="shared" si="1"/>
        <v>소모품비</v>
      </c>
      <c r="O35" t="str">
        <f>N35&amp;"|"&amp;COUNTIF($N$7:N35,N35)</f>
        <v>소모품비|1</v>
      </c>
      <c r="P35" s="93" t="str">
        <f>IF($A35="","",IF(ISNUMBER(MATCH($O35,기간별손익계산서!$Q:$Q,0)),"✓ 일치","⚠ 확인필요"))</f>
        <v>✓ 일치</v>
      </c>
      <c r="Q35" s="94">
        <f t="shared" si="2"/>
        <v>2.4718653115260811</v>
      </c>
    </row>
    <row r="36" spans="1:17" ht="22.5" customHeight="1">
      <c r="A36" s="108" t="s">
        <v>161</v>
      </c>
      <c r="B36" s="111">
        <f>IFERROR(INDEX(기간별손익계산서!$B:$B,MATCH($O36,기간별손익계산서!$Q:$Q,0)),0)</f>
        <v>196598820</v>
      </c>
      <c r="C36" s="111">
        <f>IFERROR(INDEX(기간별손익계산서!$C:$N,MATCH($O36,기간별손익계산서!$Q:$Q,0),1),0)</f>
        <v>31388944</v>
      </c>
      <c r="D36" s="111">
        <f>IFERROR(INDEX(기간별손익계산서!$C:$N,MATCH($O36,기간별손익계산서!$Q:$Q,0),2),0)</f>
        <v>25573139</v>
      </c>
      <c r="E36" s="111">
        <f>IFERROR(INDEX(기간별손익계산서!$C:$N,MATCH($O36,기간별손익계산서!$Q:$Q,0),3),0)</f>
        <v>33370976</v>
      </c>
      <c r="F36" s="111">
        <f>IFERROR(INDEX(기간별손익계산서!$C:$N,MATCH($O36,기간별손익계산서!$Q:$Q,0),4),0)</f>
        <v>26110603</v>
      </c>
      <c r="G36" s="111">
        <f>IFERROR(INDEX(기간별손익계산서!$C:$N,MATCH($O36,기간별손익계산서!$Q:$Q,0),5),0)</f>
        <v>28910791</v>
      </c>
      <c r="H36" s="111">
        <f>IFERROR(INDEX(기간별손익계산서!$C:$N,MATCH($O36,기간별손익계산서!$Q:$Q,0),6),0)</f>
        <v>26532030</v>
      </c>
      <c r="I36" s="95">
        <f>IFERROR(INDEX(기간별손익계산서!$C:$N,MATCH($O36,기간별손익계산서!$Q:$Q,0),MONTH(EOMONTH(인덱스!$K$1,-1))),0)</f>
        <v>26532030</v>
      </c>
      <c r="J36" s="95">
        <f>IFERROR(INDEX(기간별손익계산서!$C:$N,MATCH($O36,기간별손익계산서!$Q:$Q,0),MONTH(인덱스!$K$1)),0)</f>
        <v>24712337</v>
      </c>
      <c r="K36" s="95">
        <f t="shared" si="0"/>
        <v>-1819693</v>
      </c>
      <c r="L36" s="113" t="str">
        <f t="shared" si="3"/>
        <v>감소</v>
      </c>
      <c r="M36" s="114" t="s">
        <v>209</v>
      </c>
      <c r="N36" t="str">
        <f t="shared" si="1"/>
        <v>지급수수료</v>
      </c>
      <c r="O36" t="str">
        <f>N36&amp;"|"&amp;COUNTIF($N$7:N36,N36)</f>
        <v>지급수수료|1</v>
      </c>
      <c r="P36" s="93" t="str">
        <f>IF($A36="","",IF(ISNUMBER(MATCH($O36,기간별손익계산서!$Q:$Q,0)),"✓ 일치","⚠ 확인필요"))</f>
        <v>✓ 일치</v>
      </c>
      <c r="Q36" s="94">
        <f t="shared" si="2"/>
        <v>-6.8584763397297535E-2</v>
      </c>
    </row>
    <row r="37" spans="1:17" ht="22.5" customHeight="1">
      <c r="A37" s="108" t="s">
        <v>162</v>
      </c>
      <c r="B37" s="111">
        <f>IFERROR(INDEX(기간별손익계산서!$B:$B,MATCH($O37,기간별손익계산서!$Q:$Q,0)),0)</f>
        <v>0</v>
      </c>
      <c r="C37" s="111">
        <f>IFERROR(INDEX(기간별손익계산서!$C:$N,MATCH($O37,기간별손익계산서!$Q:$Q,0),1),0)</f>
        <v>0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0</v>
      </c>
      <c r="G37" s="111">
        <f>IFERROR(INDEX(기간별손익계산서!$C:$N,MATCH($O37,기간별손익계산서!$Q:$Q,0),5),0)</f>
        <v>0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 t="str">
        <f t="shared" si="3"/>
        <v>변동없음</v>
      </c>
      <c r="M37" s="115" t="s">
        <v>210</v>
      </c>
      <c r="N37" t="str">
        <f t="shared" si="1"/>
        <v>대손상각비</v>
      </c>
      <c r="O37" t="str">
        <f>N37&amp;"|"&amp;COUNTIF($N$7:N37,N37)</f>
        <v>대손상각비|1</v>
      </c>
      <c r="P37" s="93" t="str">
        <f>IF($A37="","",IF(ISNUMBER(MATCH($O37,기간별손익계산서!$Q:$Q,0)),"✓ 일치","⚠ 확인필요"))</f>
        <v>⚠ 확인필요</v>
      </c>
      <c r="Q37" s="94" t="str">
        <f t="shared" si="2"/>
        <v/>
      </c>
    </row>
    <row r="38" spans="1:17" ht="24" customHeight="1">
      <c r="A38" s="108" t="s">
        <v>163</v>
      </c>
      <c r="B38" s="111">
        <f>IFERROR(INDEX(기간별손익계산서!$B:$B,MATCH($O38,기간별손익계산서!$Q:$Q,0)),0)</f>
        <v>968104</v>
      </c>
      <c r="C38" s="111">
        <f>IFERROR(INDEX(기간별손익계산서!$C:$N,MATCH($O38,기간별손익계산서!$Q:$Q,0),1),0)</f>
        <v>461191</v>
      </c>
      <c r="D38" s="111">
        <f>IFERROR(INDEX(기간별손익계산서!$C:$N,MATCH($O38,기간별손익계산서!$Q:$Q,0),2),0)</f>
        <v>0</v>
      </c>
      <c r="E38" s="111">
        <f>IFERROR(INDEX(기간별손익계산서!$C:$N,MATCH($O38,기간별손익계산서!$Q:$Q,0),3),0)</f>
        <v>0</v>
      </c>
      <c r="F38" s="111">
        <f>IFERROR(INDEX(기간별손익계산서!$C:$N,MATCH($O38,기간별손익계산서!$Q:$Q,0),4),0)</f>
        <v>315284</v>
      </c>
      <c r="G38" s="111">
        <f>IFERROR(INDEX(기간별손익계산서!$C:$N,MATCH($O38,기간별손익계산서!$Q:$Q,0),5),0)</f>
        <v>191629</v>
      </c>
      <c r="H38" s="111">
        <f>IFERROR(INDEX(기간별손익계산서!$C:$N,MATCH($O38,기간별손익계산서!$Q:$Q,0),6),0)</f>
        <v>0</v>
      </c>
      <c r="I38" s="95">
        <f>IFERROR(INDEX(기간별손익계산서!$C:$N,MATCH($O38,기간별손익계산서!$Q:$Q,0),MONTH(EOMONTH(인덱스!$K$1,-1))),0)</f>
        <v>0</v>
      </c>
      <c r="J38" s="95">
        <f>IFERROR(INDEX(기간별손익계산서!$C:$N,MATCH($O38,기간별손익계산서!$Q:$Q,0),MONTH(인덱스!$K$1)),0)</f>
        <v>0</v>
      </c>
      <c r="K38" s="95">
        <f t="shared" si="0"/>
        <v>0</v>
      </c>
      <c r="L38" s="113" t="str">
        <f t="shared" si="3"/>
        <v>변동없음</v>
      </c>
      <c r="M38" s="115" t="s">
        <v>211</v>
      </c>
      <c r="N38" t="str">
        <f t="shared" si="1"/>
        <v>수출제비용</v>
      </c>
      <c r="O38" t="str">
        <f>N38&amp;"|"&amp;COUNTIF($N$7:N38,N38)</f>
        <v>수출제비용|1</v>
      </c>
      <c r="P38" s="93" t="str">
        <f>IF($A38="","",IF(ISNUMBER(MATCH($O38,기간별손익계산서!$Q:$Q,0)),"✓ 일치","⚠ 확인필요"))</f>
        <v>✓ 일치</v>
      </c>
      <c r="Q38" s="94" t="str">
        <f t="shared" si="2"/>
        <v/>
      </c>
    </row>
    <row r="39" spans="1:17" ht="22.5" customHeight="1">
      <c r="A39" s="74" t="s">
        <v>164</v>
      </c>
      <c r="B39" s="91">
        <f>IFERROR(INDEX(기간별손익계산서!$B:$B,MATCH($O39,기간별손익계산서!$Q:$Q,0)),0)</f>
        <v>1708056234</v>
      </c>
      <c r="C39" s="91">
        <f>IFERROR(INDEX(기간별손익계산서!$C:$N,MATCH($O39,기간별손익계산서!$Q:$Q,0),1),0)</f>
        <v>201922246</v>
      </c>
      <c r="D39" s="91">
        <f>IFERROR(INDEX(기간별손익계산서!$C:$N,MATCH($O39,기간별손익계산서!$Q:$Q,0),2),0)</f>
        <v>177990712</v>
      </c>
      <c r="E39" s="91">
        <f>IFERROR(INDEX(기간별손익계산서!$C:$N,MATCH($O39,기간별손익계산서!$Q:$Q,0),3),0)</f>
        <v>448657414</v>
      </c>
      <c r="F39" s="91">
        <f>IFERROR(INDEX(기간별손익계산서!$C:$N,MATCH($O39,기간별손익계산서!$Q:$Q,0),4),0)</f>
        <v>316863055</v>
      </c>
      <c r="G39" s="91">
        <f>IFERROR(INDEX(기간별손익계산서!$C:$N,MATCH($O39,기간별손익계산서!$Q:$Q,0),5),0)</f>
        <v>244208873</v>
      </c>
      <c r="H39" s="91">
        <f>IFERROR(INDEX(기간별손익계산서!$C:$N,MATCH($O39,기간별손익계산서!$Q:$Q,0),6),0)</f>
        <v>151504066</v>
      </c>
      <c r="I39" s="91">
        <f>IFERROR(INDEX(기간별손익계산서!$C:$N,MATCH($O39,기간별손익계산서!$Q:$Q,0),MONTH(EOMONTH(인덱스!$K$1,-1))),0)</f>
        <v>151504066</v>
      </c>
      <c r="J39" s="91">
        <f>IFERROR(INDEX(기간별손익계산서!$C:$N,MATCH($O39,기간별손익계산서!$Q:$Q,0),MONTH(인덱스!$K$1)),0)</f>
        <v>166909868</v>
      </c>
      <c r="K39" s="91">
        <f t="shared" ref="K39:K70" si="4">J39-I39</f>
        <v>15405802</v>
      </c>
      <c r="L39" s="106" t="str">
        <f t="shared" si="3"/>
        <v>증가</v>
      </c>
      <c r="M39" s="107"/>
      <c r="N39" t="str">
        <f t="shared" ref="N39:N55" si="5">SUBSTITUTE(A39," ","")</f>
        <v>Ⅴ.영업이익</v>
      </c>
      <c r="O39" t="str">
        <f>N39&amp;"|"&amp;COUNTIF($N$7:N39,N39)</f>
        <v>Ⅴ.영업이익|1</v>
      </c>
      <c r="P39" s="93" t="str">
        <f>IF($A39="","",IF(ISNUMBER(MATCH($O39,기간별손익계산서!$Q:$Q,0)),"✓ 일치","⚠ 확인필요"))</f>
        <v>✓ 일치</v>
      </c>
      <c r="Q39" s="94">
        <f t="shared" ref="Q39:Q55" si="6">IFERROR(IF(I39=0,"",(J39-I39)/ABS(I39)),"")</f>
        <v>0.10168573297564172</v>
      </c>
    </row>
    <row r="40" spans="1:17" ht="22.5" customHeight="1">
      <c r="A40" s="74" t="s">
        <v>165</v>
      </c>
      <c r="B40" s="91">
        <f>IFERROR(INDEX(기간별손익계산서!$B:$B,MATCH($O40,기간별손익계산서!$Q:$Q,0)),0)</f>
        <v>145089917</v>
      </c>
      <c r="C40" s="91">
        <f>IFERROR(INDEX(기간별손익계산서!$C:$N,MATCH($O40,기간별손익계산서!$Q:$Q,0),1),0)</f>
        <v>3456</v>
      </c>
      <c r="D40" s="91">
        <f>IFERROR(INDEX(기간별손익계산서!$C:$N,MATCH($O40,기간별손익계산서!$Q:$Q,0),2),0)</f>
        <v>7834976</v>
      </c>
      <c r="E40" s="91">
        <f>IFERROR(INDEX(기간별손익계산서!$C:$N,MATCH($O40,기간별손익계산서!$Q:$Q,0),3),0)</f>
        <v>55981200</v>
      </c>
      <c r="F40" s="91">
        <f>IFERROR(INDEX(기간별손익계산서!$C:$N,MATCH($O40,기간별손익계산서!$Q:$Q,0),4),0)</f>
        <v>15130986</v>
      </c>
      <c r="G40" s="91">
        <f>IFERROR(INDEX(기간별손익계산서!$C:$N,MATCH($O40,기간별손익계산서!$Q:$Q,0),5),0)</f>
        <v>16241089</v>
      </c>
      <c r="H40" s="91">
        <f>IFERROR(INDEX(기간별손익계산서!$C:$N,MATCH($O40,기간별손익계산서!$Q:$Q,0),6),0)</f>
        <v>41809649</v>
      </c>
      <c r="I40" s="91">
        <f>IFERROR(INDEX(기간별손익계산서!$C:$N,MATCH($O40,기간별손익계산서!$Q:$Q,0),MONTH(EOMONTH(인덱스!$K$1,-1))),0)</f>
        <v>41809649</v>
      </c>
      <c r="J40" s="91">
        <f>IFERROR(INDEX(기간별손익계산서!$C:$N,MATCH($O40,기간별손익계산서!$Q:$Q,0),MONTH(인덱스!$K$1)),0)</f>
        <v>8088561</v>
      </c>
      <c r="K40" s="91">
        <f t="shared" si="4"/>
        <v>-33721088</v>
      </c>
      <c r="L40" s="106" t="str">
        <f t="shared" si="3"/>
        <v>감소</v>
      </c>
      <c r="M40" s="107"/>
      <c r="N40" t="str">
        <f t="shared" si="5"/>
        <v>Ⅵ.영업외수익</v>
      </c>
      <c r="O40" t="str">
        <f>N40&amp;"|"&amp;COUNTIF($N$7:N40,N40)</f>
        <v>Ⅵ.영업외수익|1</v>
      </c>
      <c r="P40" s="93" t="str">
        <f>IF($A40="","",IF(ISNUMBER(MATCH($O40,기간별손익계산서!$Q:$Q,0)),"✓ 일치","⚠ 확인필요"))</f>
        <v>✓ 일치</v>
      </c>
      <c r="Q40" s="94">
        <f t="shared" si="6"/>
        <v>-0.8065384141349764</v>
      </c>
    </row>
    <row r="41" spans="1:17" ht="22.5" customHeight="1">
      <c r="A41" s="67" t="s">
        <v>166</v>
      </c>
      <c r="B41" s="111">
        <f>IFERROR(INDEX(기간별손익계산서!$B:$B,MATCH($O41,기간별손익계산서!$Q:$Q,0)),0)</f>
        <v>113934601</v>
      </c>
      <c r="C41" s="111">
        <f>IFERROR(INDEX(기간별손익계산서!$C:$N,MATCH($O41,기간별손익계산서!$Q:$Q,0),1),0)</f>
        <v>2656</v>
      </c>
      <c r="D41" s="111">
        <f>IFERROR(INDEX(기간별손익계산서!$C:$N,MATCH($O41,기간별손익계산서!$Q:$Q,0),2),0)</f>
        <v>5106911</v>
      </c>
      <c r="E41" s="111">
        <f>IFERROR(INDEX(기간별손익계산서!$C:$N,MATCH($O41,기간별손익계산서!$Q:$Q,0),3),0)</f>
        <v>53038190</v>
      </c>
      <c r="F41" s="111">
        <f>IFERROR(INDEX(기간별손익계산서!$C:$N,MATCH($O41,기간별손익계산서!$Q:$Q,0),4),0)</f>
        <v>4923</v>
      </c>
      <c r="G41" s="111">
        <f>IFERROR(INDEX(기간별손익계산서!$C:$N,MATCH($O41,기간별손익계산서!$Q:$Q,0),5),0)</f>
        <v>12790289</v>
      </c>
      <c r="H41" s="111">
        <f>IFERROR(INDEX(기간별손익계산서!$C:$N,MATCH($O41,기간별손익계산서!$Q:$Q,0),6),0)</f>
        <v>38353858</v>
      </c>
      <c r="I41" s="95">
        <f>IFERROR(INDEX(기간별손익계산서!$C:$N,MATCH($O41,기간별손익계산서!$Q:$Q,0),MONTH(EOMONTH(인덱스!$K$1,-1))),0)</f>
        <v>38353858</v>
      </c>
      <c r="J41" s="95">
        <f>IFERROR(INDEX(기간별손익계산서!$C:$N,MATCH($O41,기간별손익계산서!$Q:$Q,0),MONTH(인덱스!$K$1)),0)</f>
        <v>4637774</v>
      </c>
      <c r="K41" s="95">
        <f t="shared" si="4"/>
        <v>-33716084</v>
      </c>
      <c r="L41" s="113" t="str">
        <f t="shared" si="3"/>
        <v>감소</v>
      </c>
      <c r="M41" s="115" t="s">
        <v>212</v>
      </c>
      <c r="N41" t="str">
        <f t="shared" si="5"/>
        <v>이자수익</v>
      </c>
      <c r="O41" t="str">
        <f>N41&amp;"|"&amp;COUNTIF($N$7:N41,N41)</f>
        <v>이자수익|1</v>
      </c>
      <c r="P41" s="93" t="str">
        <f>IF($A41="","",IF(ISNUMBER(MATCH($O41,기간별손익계산서!$Q:$Q,0)),"✓ 일치","⚠ 확인필요"))</f>
        <v>✓ 일치</v>
      </c>
      <c r="Q41" s="94">
        <f t="shared" si="6"/>
        <v>-0.87907933538263605</v>
      </c>
    </row>
    <row r="42" spans="1:17" ht="22.5" customHeight="1">
      <c r="A42" s="67" t="s">
        <v>167</v>
      </c>
      <c r="B42" s="111">
        <f>IFERROR(INDEX(기간별손익계산서!$B:$B,MATCH($O42,기간별손익계산서!$Q:$Q,0)),0)</f>
        <v>9493467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0</v>
      </c>
      <c r="E42" s="111">
        <f>IFERROR(INDEX(기간별손익계산서!$C:$N,MATCH($O42,기간별손익계산서!$Q:$Q,0),3),0)</f>
        <v>0</v>
      </c>
      <c r="F42" s="111">
        <f>IFERROR(INDEX(기간별손익계산서!$C:$N,MATCH($O42,기간별손익계산서!$Q:$Q,0),4),0)</f>
        <v>9493467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4"/>
        <v>0</v>
      </c>
      <c r="L42" s="113" t="str">
        <f t="shared" si="3"/>
        <v>변동없음</v>
      </c>
      <c r="M42" s="110"/>
      <c r="N42" t="str">
        <f t="shared" si="5"/>
        <v>외환차익</v>
      </c>
      <c r="O42" t="str">
        <f>N42&amp;"|"&amp;COUNTIF($N$7:N42,N42)</f>
        <v>외환차익|1</v>
      </c>
      <c r="P42" s="93" t="str">
        <f>IF($A42="","",IF(ISNUMBER(MATCH($O42,기간별손익계산서!$Q:$Q,0)),"✓ 일치","⚠ 확인필요"))</f>
        <v>✓ 일치</v>
      </c>
      <c r="Q42" s="94" t="str">
        <f t="shared" si="6"/>
        <v/>
      </c>
    </row>
    <row r="43" spans="1:17" ht="22.5" customHeight="1">
      <c r="A43" s="67" t="s">
        <v>169</v>
      </c>
      <c r="B43" s="111">
        <f>IFERROR(INDEX(기간별손익계산서!$B:$B,MATCH($O43,기간별손익계산서!$Q:$Q,0)),0)</f>
        <v>7089909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2727273</v>
      </c>
      <c r="E43" s="111">
        <f>IFERROR(INDEX(기간별손익계산서!$C:$N,MATCH($O43,기간별손익계산서!$Q:$Q,0),3),0)</f>
        <v>2180818</v>
      </c>
      <c r="F43" s="111">
        <f>IFERROR(INDEX(기간별손익계산서!$C:$N,MATCH($O43,기간별손익계산서!$Q:$Q,0),4),0)</f>
        <v>2181818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4"/>
        <v>0</v>
      </c>
      <c r="L43" s="113" t="str">
        <f t="shared" si="3"/>
        <v>변동없음</v>
      </c>
      <c r="M43" s="110"/>
      <c r="N43" t="str">
        <f t="shared" si="5"/>
        <v>유형자산처분이익</v>
      </c>
      <c r="O43" t="str">
        <f>N43&amp;"|"&amp;COUNTIF($N$7:N43,N43)</f>
        <v>유형자산처분이익|1</v>
      </c>
      <c r="P43" s="93" t="str">
        <f>IF($A43="","",IF(ISNUMBER(MATCH($O43,기간별손익계산서!$Q:$Q,0)),"✓ 일치","⚠ 확인필요"))</f>
        <v>✓ 일치</v>
      </c>
      <c r="Q43" s="94" t="str">
        <f t="shared" si="6"/>
        <v/>
      </c>
    </row>
    <row r="44" spans="1:17" ht="22.5" customHeight="1">
      <c r="A44" s="67" t="s">
        <v>170</v>
      </c>
      <c r="B44" s="111">
        <f>IFERROR(INDEX(기간별손익계산서!$B:$B,MATCH($O44,기간별손익계산서!$Q:$Q,0)),0)</f>
        <v>0</v>
      </c>
      <c r="C44" s="111">
        <f>IFERROR(INDEX(기간별손익계산서!$C:$N,MATCH($O44,기간별손익계산서!$Q:$Q,0),1),0)</f>
        <v>0</v>
      </c>
      <c r="D44" s="111">
        <f>IFERROR(INDEX(기간별손익계산서!$C:$N,MATCH($O44,기간별손익계산서!$Q:$Q,0),2),0)</f>
        <v>0</v>
      </c>
      <c r="E44" s="111">
        <f>IFERROR(INDEX(기간별손익계산서!$C:$N,MATCH($O44,기간별손익계산서!$Q:$Q,0),3),0)</f>
        <v>0</v>
      </c>
      <c r="F44" s="111">
        <f>IFERROR(INDEX(기간별손익계산서!$C:$N,MATCH($O44,기간별손익계산서!$Q:$Q,0),4),0)</f>
        <v>0</v>
      </c>
      <c r="G44" s="111">
        <f>IFERROR(INDEX(기간별손익계산서!$C:$N,MATCH($O44,기간별손익계산서!$Q:$Q,0),5),0)</f>
        <v>0</v>
      </c>
      <c r="H44" s="111">
        <f>IFERROR(INDEX(기간별손익계산서!$C:$N,MATCH($O44,기간별손익계산서!$Q:$Q,0),6),0)</f>
        <v>0</v>
      </c>
      <c r="I44" s="95">
        <f>IFERROR(INDEX(기간별손익계산서!$C:$N,MATCH($O44,기간별손익계산서!$Q:$Q,0),MONTH(EOMONTH(인덱스!$K$1,-1))),0)</f>
        <v>0</v>
      </c>
      <c r="J44" s="95">
        <f>IFERROR(INDEX(기간별손익계산서!$C:$N,MATCH($O44,기간별손익계산서!$Q:$Q,0),MONTH(인덱스!$K$1)),0)</f>
        <v>0</v>
      </c>
      <c r="K44" s="95">
        <f t="shared" si="4"/>
        <v>0</v>
      </c>
      <c r="L44" s="113" t="str">
        <f t="shared" si="3"/>
        <v>변동없음</v>
      </c>
      <c r="M44" s="110"/>
      <c r="N44" t="str">
        <f t="shared" si="5"/>
        <v>투자자산처분이익</v>
      </c>
      <c r="O44" t="str">
        <f>N44&amp;"|"&amp;COUNTIF($N$7:N44,N44)</f>
        <v>투자자산처분이익|1</v>
      </c>
      <c r="P44" s="93" t="str">
        <f>IF($A44="","",IF(ISNUMBER(MATCH($O44,기간별손익계산서!$Q:$Q,0)),"✓ 일치","⚠ 확인필요"))</f>
        <v>⚠ 확인필요</v>
      </c>
      <c r="Q44" s="94" t="str">
        <f t="shared" si="6"/>
        <v/>
      </c>
    </row>
    <row r="45" spans="1:17" ht="22.5" customHeight="1">
      <c r="A45" s="67" t="s">
        <v>172</v>
      </c>
      <c r="B45" s="111">
        <f>IFERROR(INDEX(기간별손익계산서!$B:$B,MATCH($O45,기간별손익계산서!$Q:$Q,0)),0)</f>
        <v>14571940</v>
      </c>
      <c r="C45" s="111">
        <f>IFERROR(INDEX(기간별손익계산서!$C:$N,MATCH($O45,기간별손익계산서!$Q:$Q,0),1),0)</f>
        <v>800</v>
      </c>
      <c r="D45" s="111">
        <f>IFERROR(INDEX(기간별손익계산서!$C:$N,MATCH($O45,기간별손익계산서!$Q:$Q,0),2),0)</f>
        <v>792</v>
      </c>
      <c r="E45" s="111">
        <f>IFERROR(INDEX(기간별손익계산서!$C:$N,MATCH($O45,기간별손익계산서!$Q:$Q,0),3),0)</f>
        <v>762192</v>
      </c>
      <c r="F45" s="111">
        <f>IFERROR(INDEX(기간별손익계산서!$C:$N,MATCH($O45,기간별손익계산서!$Q:$Q,0),4),0)</f>
        <v>3450778</v>
      </c>
      <c r="G45" s="111">
        <f>IFERROR(INDEX(기간별손익계산서!$C:$N,MATCH($O45,기간별손익계산서!$Q:$Q,0),5),0)</f>
        <v>3450800</v>
      </c>
      <c r="H45" s="111">
        <f>IFERROR(INDEX(기간별손익계산서!$C:$N,MATCH($O45,기간별손익계산서!$Q:$Q,0),6),0)</f>
        <v>3455791</v>
      </c>
      <c r="I45" s="95">
        <f>IFERROR(INDEX(기간별손익계산서!$C:$N,MATCH($O45,기간별손익계산서!$Q:$Q,0),MONTH(EOMONTH(인덱스!$K$1,-1))),0)</f>
        <v>3455791</v>
      </c>
      <c r="J45" s="95">
        <f>IFERROR(INDEX(기간별손익계산서!$C:$N,MATCH($O45,기간별손익계산서!$Q:$Q,0),MONTH(인덱스!$K$1)),0)</f>
        <v>3450787</v>
      </c>
      <c r="K45" s="95">
        <f t="shared" si="4"/>
        <v>-5004</v>
      </c>
      <c r="L45" s="113" t="str">
        <f t="shared" si="3"/>
        <v>감소</v>
      </c>
      <c r="M45" s="116" t="s">
        <v>213</v>
      </c>
      <c r="N45" t="str">
        <f t="shared" si="5"/>
        <v>잡이익</v>
      </c>
      <c r="O45" t="str">
        <f>N45&amp;"|"&amp;COUNTIF($N$7:N45,N45)</f>
        <v>잡이익|1</v>
      </c>
      <c r="P45" s="93" t="str">
        <f>IF($A45="","",IF(ISNUMBER(MATCH($O45,기간별손익계산서!$Q:$Q,0)),"✓ 일치","⚠ 확인필요"))</f>
        <v>✓ 일치</v>
      </c>
      <c r="Q45" s="94">
        <f t="shared" si="6"/>
        <v>-1.4480042340523486E-3</v>
      </c>
    </row>
    <row r="46" spans="1:17" ht="22.5" customHeight="1">
      <c r="A46" s="74" t="s">
        <v>173</v>
      </c>
      <c r="B46" s="112">
        <f>IFERROR(INDEX(기간별손익계산서!$B:$B,MATCH($O46,기간별손익계산서!$Q:$Q,0)),0)</f>
        <v>1315405</v>
      </c>
      <c r="C46" s="112">
        <f>IFERROR(INDEX(기간별손익계산서!$C:$N,MATCH($O46,기간별손익계산서!$Q:$Q,0),1),0)</f>
        <v>0</v>
      </c>
      <c r="D46" s="112">
        <f>IFERROR(INDEX(기간별손익계산서!$C:$N,MATCH($O46,기간별손익계산서!$Q:$Q,0),2),0)</f>
        <v>1112869</v>
      </c>
      <c r="E46" s="112">
        <f>IFERROR(INDEX(기간별손익계산서!$C:$N,MATCH($O46,기간별손익계산서!$Q:$Q,0),3),0)</f>
        <v>32000</v>
      </c>
      <c r="F46" s="112">
        <f>IFERROR(INDEX(기간별손익계산서!$C:$N,MATCH($O46,기간별손익계산서!$Q:$Q,0),4),0)</f>
        <v>20600</v>
      </c>
      <c r="G46" s="112">
        <f>IFERROR(INDEX(기간별손익계산서!$C:$N,MATCH($O46,기간별손익계산서!$Q:$Q,0),5),0)</f>
        <v>56000</v>
      </c>
      <c r="H46" s="112">
        <f>IFERROR(INDEX(기간별손익계산서!$C:$N,MATCH($O46,기간별손익계산서!$Q:$Q,0),6),0)</f>
        <v>92006</v>
      </c>
      <c r="I46" s="91">
        <f>IFERROR(INDEX(기간별손익계산서!$C:$N,MATCH($O46,기간별손익계산서!$Q:$Q,0),MONTH(EOMONTH(인덱스!$K$1,-1))),0)</f>
        <v>92006</v>
      </c>
      <c r="J46" s="91">
        <f>IFERROR(INDEX(기간별손익계산서!$C:$N,MATCH($O46,기간별손익계산서!$Q:$Q,0),MONTH(인덱스!$K$1)),0)</f>
        <v>1930</v>
      </c>
      <c r="K46" s="91">
        <f t="shared" si="4"/>
        <v>-90076</v>
      </c>
      <c r="L46" s="106" t="str">
        <f t="shared" si="3"/>
        <v>감소</v>
      </c>
      <c r="M46" s="107"/>
      <c r="N46" t="str">
        <f t="shared" si="5"/>
        <v>Ⅶ.영업외비용</v>
      </c>
      <c r="O46" t="str">
        <f>N46&amp;"|"&amp;COUNTIF($N$7:N46,N46)</f>
        <v>Ⅶ.영업외비용|1</v>
      </c>
      <c r="P46" s="93" t="str">
        <f>IF($A46="","",IF(ISNUMBER(MATCH($O46,기간별손익계산서!$Q:$Q,0)),"✓ 일치","⚠ 확인필요"))</f>
        <v>✓ 일치</v>
      </c>
      <c r="Q46" s="94">
        <f t="shared" si="6"/>
        <v>-0.97902310718866159</v>
      </c>
    </row>
    <row r="47" spans="1:17" ht="22.5" customHeight="1">
      <c r="A47" s="67" t="s">
        <v>174</v>
      </c>
      <c r="B47" s="111">
        <f>IFERROR(INDEX(기간별손익계산서!$B:$B,MATCH($O47,기간별손익계산서!$Q:$Q,0)),0)</f>
        <v>0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0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4"/>
        <v>0</v>
      </c>
      <c r="L47" s="113" t="str">
        <f t="shared" si="3"/>
        <v>변동없음</v>
      </c>
      <c r="M47" s="110"/>
      <c r="N47" t="str">
        <f t="shared" si="5"/>
        <v>이자비용</v>
      </c>
      <c r="O47" t="str">
        <f>N47&amp;"|"&amp;COUNTIF($N$7:N47,N47)</f>
        <v>이자비용|1</v>
      </c>
      <c r="P47" s="93" t="str">
        <f>IF($A47="","",IF(ISNUMBER(MATCH($O47,기간별손익계산서!$Q:$Q,0)),"✓ 일치","⚠ 확인필요"))</f>
        <v>⚠ 확인필요</v>
      </c>
      <c r="Q47" s="94" t="str">
        <f t="shared" si="6"/>
        <v/>
      </c>
    </row>
    <row r="48" spans="1:17" ht="22.5" customHeight="1">
      <c r="A48" s="67" t="s">
        <v>175</v>
      </c>
      <c r="B48" s="111">
        <f>IFERROR(INDEX(기간별손익계산서!$B:$B,MATCH($O48,기간별손익계산서!$Q:$Q,0)),0)</f>
        <v>1131469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1111869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19600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4"/>
        <v>0</v>
      </c>
      <c r="L48" s="113" t="str">
        <f t="shared" si="3"/>
        <v>변동없음</v>
      </c>
      <c r="M48" s="110"/>
      <c r="N48" t="str">
        <f t="shared" si="5"/>
        <v>외환차손</v>
      </c>
      <c r="O48" t="str">
        <f>N48&amp;"|"&amp;COUNTIF($N$7:N48,N48)</f>
        <v>외환차손|1</v>
      </c>
      <c r="P48" s="93" t="str">
        <f>IF($A48="","",IF(ISNUMBER(MATCH($O48,기간별손익계산서!$Q:$Q,0)),"✓ 일치","⚠ 확인필요"))</f>
        <v>✓ 일치</v>
      </c>
      <c r="Q48" s="94" t="str">
        <f t="shared" si="6"/>
        <v/>
      </c>
    </row>
    <row r="49" spans="1:17" ht="22.5" customHeight="1">
      <c r="A49" s="67" t="s">
        <v>178</v>
      </c>
      <c r="B49" s="111">
        <f>IFERROR(INDEX(기간별손익계산서!$B:$B,MATCH($O49,기간별손익계산서!$Q:$Q,0)),0)</f>
        <v>2000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1000</v>
      </c>
      <c r="E49" s="111">
        <f>IFERROR(INDEX(기간별손익계산서!$C:$N,MATCH($O49,기간별손익계산서!$Q:$Q,0),3),0)</f>
        <v>0</v>
      </c>
      <c r="F49" s="111">
        <f>IFERROR(INDEX(기간별손익계산서!$C:$N,MATCH($O49,기간별손익계산서!$Q:$Q,0),4),0)</f>
        <v>1000</v>
      </c>
      <c r="G49" s="111">
        <f>IFERROR(INDEX(기간별손익계산서!$C:$N,MATCH($O49,기간별손익계산서!$Q:$Q,0),5),0)</f>
        <v>0</v>
      </c>
      <c r="H49" s="111">
        <f>IFERROR(INDEX(기간별손익계산서!$C:$N,MATCH($O49,기간별손익계산서!$Q:$Q,0),6),0)</f>
        <v>0</v>
      </c>
      <c r="I49" s="95">
        <f>IFERROR(INDEX(기간별손익계산서!$C:$N,MATCH($O49,기간별손익계산서!$Q:$Q,0),MONTH(EOMONTH(인덱스!$K$1,-1))),0)</f>
        <v>0</v>
      </c>
      <c r="J49" s="95">
        <f>IFERROR(INDEX(기간별손익계산서!$C:$N,MATCH($O49,기간별손익계산서!$Q:$Q,0),MONTH(인덱스!$K$1)),0)</f>
        <v>0</v>
      </c>
      <c r="K49" s="95">
        <f t="shared" si="4"/>
        <v>0</v>
      </c>
      <c r="L49" s="113" t="str">
        <f t="shared" si="3"/>
        <v>변동없음</v>
      </c>
      <c r="M49" s="110"/>
      <c r="N49" t="str">
        <f t="shared" si="5"/>
        <v>유형자산처분손실</v>
      </c>
      <c r="O49" t="str">
        <f>N49&amp;"|"&amp;COUNTIF($N$7:N49,N49)</f>
        <v>유형자산처분손실|1</v>
      </c>
      <c r="P49" s="93" t="str">
        <f>IF($A49="","",IF(ISNUMBER(MATCH($O49,기간별손익계산서!$Q:$Q,0)),"✓ 일치","⚠ 확인필요"))</f>
        <v>✓ 일치</v>
      </c>
      <c r="Q49" s="94" t="str">
        <f t="shared" si="6"/>
        <v/>
      </c>
    </row>
    <row r="50" spans="1:17" ht="22.5" customHeight="1">
      <c r="A50" s="67" t="s">
        <v>179</v>
      </c>
      <c r="B50" s="111">
        <f>IFERROR(INDEX(기간별손익계산서!$B:$B,MATCH($O50,기간별손익계산서!$Q:$Q,0)),0)</f>
        <v>181936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32000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56000</v>
      </c>
      <c r="H50" s="111">
        <f>IFERROR(INDEX(기간별손익계산서!$C:$N,MATCH($O50,기간별손익계산서!$Q:$Q,0),6),0)</f>
        <v>92006</v>
      </c>
      <c r="I50" s="95">
        <f>IFERROR(INDEX(기간별손익계산서!$C:$N,MATCH($O50,기간별손익계산서!$Q:$Q,0),MONTH(EOMONTH(인덱스!$K$1,-1))),0)</f>
        <v>92006</v>
      </c>
      <c r="J50" s="95">
        <f>IFERROR(INDEX(기간별손익계산서!$C:$N,MATCH($O50,기간별손익계산서!$Q:$Q,0),MONTH(인덱스!$K$1)),0)</f>
        <v>1930</v>
      </c>
      <c r="K50" s="95">
        <f t="shared" si="4"/>
        <v>-90076</v>
      </c>
      <c r="L50" s="113" t="str">
        <f t="shared" si="3"/>
        <v>감소</v>
      </c>
      <c r="M50" s="110"/>
      <c r="N50" t="str">
        <f t="shared" si="5"/>
        <v>잡손실</v>
      </c>
      <c r="O50" t="str">
        <f>N50&amp;"|"&amp;COUNTIF($N$7:N50,N50)</f>
        <v>잡손실|1</v>
      </c>
      <c r="P50" s="93" t="str">
        <f>IF($A50="","",IF(ISNUMBER(MATCH($O50,기간별손익계산서!$Q:$Q,0)),"✓ 일치","⚠ 확인필요"))</f>
        <v>✓ 일치</v>
      </c>
      <c r="Q50" s="94">
        <f t="shared" si="6"/>
        <v>-0.97902310718866159</v>
      </c>
    </row>
    <row r="51" spans="1:17" ht="24" customHeight="1">
      <c r="A51" s="108" t="s">
        <v>180</v>
      </c>
      <c r="B51" s="111">
        <f>IFERROR(INDEX(기간별손익계산서!$B:$B,MATCH($O51,기간별손익계산서!$Q:$Q,0)),0)</f>
        <v>0</v>
      </c>
      <c r="C51" s="111">
        <f>IFERROR(INDEX(기간별손익계산서!$C:$N,MATCH($O51,기간별손익계산서!$Q:$Q,0),1),0)</f>
        <v>0</v>
      </c>
      <c r="D51" s="111">
        <f>IFERROR(INDEX(기간별손익계산서!$C:$N,MATCH($O51,기간별손익계산서!$Q:$Q,0),2),0)</f>
        <v>0</v>
      </c>
      <c r="E51" s="111">
        <f>IFERROR(INDEX(기간별손익계산서!$C:$N,MATCH($O51,기간별손익계산서!$Q:$Q,0),3),0)</f>
        <v>0</v>
      </c>
      <c r="F51" s="111">
        <f>IFERROR(INDEX(기간별손익계산서!$C:$N,MATCH($O51,기간별손익계산서!$Q:$Q,0),4),0)</f>
        <v>0</v>
      </c>
      <c r="G51" s="111">
        <f>IFERROR(INDEX(기간별손익계산서!$C:$N,MATCH($O51,기간별손익계산서!$Q:$Q,0),5),0)</f>
        <v>0</v>
      </c>
      <c r="H51" s="111">
        <f>IFERROR(INDEX(기간별손익계산서!$C:$N,MATCH($O51,기간별손익계산서!$Q:$Q,0),6),0)</f>
        <v>0</v>
      </c>
      <c r="I51" s="95">
        <f>IFERROR(INDEX(기간별손익계산서!$C:$N,MATCH($O51,기간별손익계산서!$Q:$Q,0),MONTH(EOMONTH(인덱스!$K$1,-1))),0)</f>
        <v>0</v>
      </c>
      <c r="J51" s="95">
        <f>IFERROR(INDEX(기간별손익계산서!$C:$N,MATCH($O51,기간별손익계산서!$Q:$Q,0),MONTH(인덱스!$K$1)),0)</f>
        <v>0</v>
      </c>
      <c r="K51" s="95">
        <f t="shared" si="4"/>
        <v>0</v>
      </c>
      <c r="L51" s="113" t="str">
        <f t="shared" si="3"/>
        <v>변동없음</v>
      </c>
      <c r="M51" s="110"/>
      <c r="N51" t="str">
        <f t="shared" si="5"/>
        <v>법인세추납액</v>
      </c>
      <c r="O51" t="str">
        <f>N51&amp;"|"&amp;COUNTIF($N$7:N51,N51)</f>
        <v>법인세추납액|1</v>
      </c>
      <c r="P51" s="93" t="str">
        <f>IF($A51="","",IF(ISNUMBER(MATCH($O51,기간별손익계산서!$Q:$Q,0)),"✓ 일치","⚠ 확인필요"))</f>
        <v>⚠ 확인필요</v>
      </c>
      <c r="Q51" s="94" t="str">
        <f t="shared" si="6"/>
        <v/>
      </c>
    </row>
    <row r="52" spans="1:17" ht="22.5" customHeight="1">
      <c r="A52" s="74" t="s">
        <v>181</v>
      </c>
      <c r="B52" s="91">
        <f>IFERROR(INDEX(기간별손익계산서!$B:$B,MATCH($O52,기간별손익계산서!$Q:$Q,0)),0)</f>
        <v>1851830746</v>
      </c>
      <c r="C52" s="91">
        <f>IFERROR(INDEX(기간별손익계산서!$C:$N,MATCH($O52,기간별손익계산서!$Q:$Q,0),1),0)</f>
        <v>201925702</v>
      </c>
      <c r="D52" s="91">
        <f>IFERROR(INDEX(기간별손익계산서!$C:$N,MATCH($O52,기간별손익계산서!$Q:$Q,0),2),0)</f>
        <v>184712819</v>
      </c>
      <c r="E52" s="91">
        <f>IFERROR(INDEX(기간별손익계산서!$C:$N,MATCH($O52,기간별손익계산서!$Q:$Q,0),3),0)</f>
        <v>504606614</v>
      </c>
      <c r="F52" s="91">
        <f>IFERROR(INDEX(기간별손익계산서!$C:$N,MATCH($O52,기간별손익계산서!$Q:$Q,0),4),0)</f>
        <v>331973441</v>
      </c>
      <c r="G52" s="91">
        <f>IFERROR(INDEX(기간별손익계산서!$C:$N,MATCH($O52,기간별손익계산서!$Q:$Q,0),5),0)</f>
        <v>260393962</v>
      </c>
      <c r="H52" s="91">
        <f>IFERROR(INDEX(기간별손익계산서!$C:$N,MATCH($O52,기간별손익계산서!$Q:$Q,0),6),0)</f>
        <v>193221709</v>
      </c>
      <c r="I52" s="91">
        <f>IFERROR(INDEX(기간별손익계산서!$C:$N,MATCH($O52,기간별손익계산서!$Q:$Q,0),MONTH(EOMONTH(인덱스!$K$1,-1))),0)</f>
        <v>193221709</v>
      </c>
      <c r="J52" s="91">
        <f>IFERROR(INDEX(기간별손익계산서!$C:$N,MATCH($O52,기간별손익계산서!$Q:$Q,0),MONTH(인덱스!$K$1)),0)</f>
        <v>174996499</v>
      </c>
      <c r="K52" s="91">
        <f t="shared" si="4"/>
        <v>-18225210</v>
      </c>
      <c r="L52" s="106" t="str">
        <f t="shared" si="3"/>
        <v>감소</v>
      </c>
      <c r="M52" s="107"/>
      <c r="N52" t="str">
        <f t="shared" si="5"/>
        <v>Ⅷ.법인세비용차감전순이익</v>
      </c>
      <c r="O52" t="str">
        <f>N52&amp;"|"&amp;COUNTIF($N$7:N52,N52)</f>
        <v>Ⅷ.법인세비용차감전순이익|1</v>
      </c>
      <c r="P52" s="93" t="str">
        <f>IF($A52="","",IF(ISNUMBER(MATCH($O52,기간별손익계산서!$Q:$Q,0)),"✓ 일치","⚠ 확인필요"))</f>
        <v>✓ 일치</v>
      </c>
      <c r="Q52" s="94">
        <f t="shared" si="6"/>
        <v>-9.4322786473232154E-2</v>
      </c>
    </row>
    <row r="53" spans="1:17" ht="22.5" customHeight="1">
      <c r="A53" s="74" t="s">
        <v>182</v>
      </c>
      <c r="B53" s="91">
        <f>IFERROR(INDEX(기간별손익계산서!$B:$B,MATCH($O53,기간별손익계산서!$Q:$Q,0)),0)</f>
        <v>0</v>
      </c>
      <c r="C53" s="91">
        <f>IFERROR(INDEX(기간별손익계산서!$C:$N,MATCH($O53,기간별손익계산서!$Q:$Q,0),1),0)</f>
        <v>0</v>
      </c>
      <c r="D53" s="91">
        <f>IFERROR(INDEX(기간별손익계산서!$C:$N,MATCH($O53,기간별손익계산서!$Q:$Q,0),2),0)</f>
        <v>0</v>
      </c>
      <c r="E53" s="91">
        <f>IFERROR(INDEX(기간별손익계산서!$C:$N,MATCH($O53,기간별손익계산서!$Q:$Q,0),3),0)</f>
        <v>0</v>
      </c>
      <c r="F53" s="91">
        <f>IFERROR(INDEX(기간별손익계산서!$C:$N,MATCH($O53,기간별손익계산서!$Q:$Q,0),4),0)</f>
        <v>0</v>
      </c>
      <c r="G53" s="91">
        <f>IFERROR(INDEX(기간별손익계산서!$C:$N,MATCH($O53,기간별손익계산서!$Q:$Q,0),5),0)</f>
        <v>0</v>
      </c>
      <c r="H53" s="91">
        <f>IFERROR(INDEX(기간별손익계산서!$C:$N,MATCH($O53,기간별손익계산서!$Q:$Q,0),6),0)</f>
        <v>0</v>
      </c>
      <c r="I53" s="91">
        <f>IFERROR(INDEX(기간별손익계산서!$C:$N,MATCH($O53,기간별손익계산서!$Q:$Q,0),MONTH(EOMONTH(인덱스!$K$1,-1))),0)</f>
        <v>0</v>
      </c>
      <c r="J53" s="91">
        <f>IFERROR(INDEX(기간별손익계산서!$C:$N,MATCH($O53,기간별손익계산서!$Q:$Q,0),MONTH(인덱스!$K$1)),0)</f>
        <v>0</v>
      </c>
      <c r="K53" s="91">
        <f t="shared" si="4"/>
        <v>0</v>
      </c>
      <c r="L53" s="106" t="str">
        <f t="shared" si="3"/>
        <v>변동없음</v>
      </c>
      <c r="M53" s="107"/>
      <c r="N53" t="str">
        <f t="shared" si="5"/>
        <v>Ⅸ.법인세비용</v>
      </c>
      <c r="O53" t="str">
        <f>N53&amp;"|"&amp;COUNTIF($N$7:N53,N53)</f>
        <v>Ⅸ.법인세비용|1</v>
      </c>
      <c r="P53" s="93" t="str">
        <f>IF($A53="","",IF(ISNUMBER(MATCH($O53,기간별손익계산서!$Q:$Q,0)),"✓ 일치","⚠ 확인필요"))</f>
        <v>✓ 일치</v>
      </c>
      <c r="Q53" s="94" t="str">
        <f t="shared" si="6"/>
        <v/>
      </c>
    </row>
    <row r="54" spans="1:17" ht="24" customHeight="1">
      <c r="A54" s="67" t="s">
        <v>183</v>
      </c>
      <c r="B54" s="111">
        <f>IFERROR(INDEX(기간별손익계산서!$B:$B,MATCH($O54,기간별손익계산서!$Q:$Q,0)),0)</f>
        <v>0</v>
      </c>
      <c r="C54" s="111">
        <f>IFERROR(INDEX(기간별손익계산서!$C:$N,MATCH($O54,기간별손익계산서!$Q:$Q,0),1),0)</f>
        <v>0</v>
      </c>
      <c r="D54" s="111">
        <f>IFERROR(INDEX(기간별손익계산서!$C:$N,MATCH($O54,기간별손익계산서!$Q:$Q,0),2),0)</f>
        <v>0</v>
      </c>
      <c r="E54" s="111">
        <f>IFERROR(INDEX(기간별손익계산서!$C:$N,MATCH($O54,기간별손익계산서!$Q:$Q,0),3),0)</f>
        <v>0</v>
      </c>
      <c r="F54" s="111">
        <f>IFERROR(INDEX(기간별손익계산서!$C:$N,MATCH($O54,기간별손익계산서!$Q:$Q,0),4),0)</f>
        <v>0</v>
      </c>
      <c r="G54" s="111">
        <f>IFERROR(INDEX(기간별손익계산서!$C:$N,MATCH($O54,기간별손익계산서!$Q:$Q,0),5),0)</f>
        <v>0</v>
      </c>
      <c r="H54" s="111">
        <f>IFERROR(INDEX(기간별손익계산서!$C:$N,MATCH($O54,기간별손익계산서!$Q:$Q,0),6),0)</f>
        <v>0</v>
      </c>
      <c r="I54" s="95">
        <f>IFERROR(INDEX(기간별손익계산서!$C:$N,MATCH($O54,기간별손익계산서!$Q:$Q,0),MONTH(EOMONTH(인덱스!$K$1,-1))),0)</f>
        <v>0</v>
      </c>
      <c r="J54" s="95">
        <f>IFERROR(INDEX(기간별손익계산서!$C:$N,MATCH($O54,기간별손익계산서!$Q:$Q,0),MONTH(인덱스!$K$1)),0)</f>
        <v>0</v>
      </c>
      <c r="K54" s="95">
        <f t="shared" si="4"/>
        <v>0</v>
      </c>
      <c r="L54" s="113" t="str">
        <f t="shared" si="3"/>
        <v>변동없음</v>
      </c>
      <c r="M54" s="110"/>
      <c r="N54" t="str">
        <f t="shared" si="5"/>
        <v>법인세등</v>
      </c>
      <c r="O54" t="str">
        <f>N54&amp;"|"&amp;COUNTIF($N$7:N54,N54)</f>
        <v>법인세등|1</v>
      </c>
      <c r="P54" s="93" t="str">
        <f>IF($A54="","",IF(ISNUMBER(MATCH($O54,기간별손익계산서!$Q:$Q,0)),"✓ 일치","⚠ 확인필요"))</f>
        <v>⚠ 확인필요</v>
      </c>
      <c r="Q54" s="94" t="str">
        <f t="shared" si="6"/>
        <v/>
      </c>
    </row>
    <row r="55" spans="1:17" ht="21" customHeight="1">
      <c r="A55" s="74" t="s">
        <v>184</v>
      </c>
      <c r="B55" s="91">
        <f>IFERROR(INDEX(기간별손익계산서!$B:$B,MATCH($O55,기간별손익계산서!$Q:$Q,0)),0)</f>
        <v>1851830746</v>
      </c>
      <c r="C55" s="91">
        <f>IFERROR(INDEX(기간별손익계산서!$C:$N,MATCH($O55,기간별손익계산서!$Q:$Q,0),1),0)</f>
        <v>201925702</v>
      </c>
      <c r="D55" s="91">
        <f>IFERROR(INDEX(기간별손익계산서!$C:$N,MATCH($O55,기간별손익계산서!$Q:$Q,0),2),0)</f>
        <v>184712819</v>
      </c>
      <c r="E55" s="91">
        <f>IFERROR(INDEX(기간별손익계산서!$C:$N,MATCH($O55,기간별손익계산서!$Q:$Q,0),3),0)</f>
        <v>504606614</v>
      </c>
      <c r="F55" s="91">
        <f>IFERROR(INDEX(기간별손익계산서!$C:$N,MATCH($O55,기간별손익계산서!$Q:$Q,0),4),0)</f>
        <v>331973441</v>
      </c>
      <c r="G55" s="91">
        <f>IFERROR(INDEX(기간별손익계산서!$C:$N,MATCH($O55,기간별손익계산서!$Q:$Q,0),5),0)</f>
        <v>260393962</v>
      </c>
      <c r="H55" s="91">
        <f>IFERROR(INDEX(기간별손익계산서!$C:$N,MATCH($O55,기간별손익계산서!$Q:$Q,0),6),0)</f>
        <v>193221709</v>
      </c>
      <c r="I55" s="91">
        <f>IFERROR(INDEX(기간별손익계산서!$C:$N,MATCH($O55,기간별손익계산서!$Q:$Q,0),MONTH(EOMONTH(인덱스!$K$1,-1))),0)</f>
        <v>193221709</v>
      </c>
      <c r="J55" s="91">
        <f>IFERROR(INDEX(기간별손익계산서!$C:$N,MATCH($O55,기간별손익계산서!$Q:$Q,0),MONTH(인덱스!$K$1)),0)</f>
        <v>174996499</v>
      </c>
      <c r="K55" s="91">
        <f t="shared" si="4"/>
        <v>-18225210</v>
      </c>
      <c r="L55" s="106" t="str">
        <f t="shared" si="3"/>
        <v>감소</v>
      </c>
      <c r="M55" s="107"/>
      <c r="N55" t="str">
        <f t="shared" si="5"/>
        <v>Ⅹ.당기순이익</v>
      </c>
      <c r="O55" t="str">
        <f>N55&amp;"|"&amp;COUNTIF($N$7:N55,N55)</f>
        <v>Ⅹ.당기순이익|1</v>
      </c>
      <c r="P55" s="93" t="str">
        <f>IF($A55="","",IF(ISNUMBER(MATCH($O55,기간별손익계산서!$Q:$Q,0)),"✓ 일치","⚠ 확인필요"))</f>
        <v>✓ 일치</v>
      </c>
      <c r="Q55" s="94">
        <f t="shared" si="6"/>
        <v>-9.4322786473232154E-2</v>
      </c>
    </row>
    <row r="56" spans="1:17">
      <c r="J56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verticalDpi="300" r:id="rId1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6" t="s">
        <v>43</v>
      </c>
      <c r="B1" s="158" t="s">
        <v>44</v>
      </c>
      <c r="C1" s="159"/>
      <c r="D1" s="158" t="s">
        <v>46</v>
      </c>
      <c r="E1" s="159"/>
    </row>
    <row r="2" spans="1:7" ht="18.75" customHeight="1">
      <c r="A2" s="160"/>
      <c r="B2" s="156" t="s">
        <v>49</v>
      </c>
      <c r="C2" s="157"/>
      <c r="D2" s="156" t="s">
        <v>50</v>
      </c>
      <c r="E2" s="157"/>
    </row>
    <row r="3" spans="1:7" ht="12" customHeight="1">
      <c r="A3" s="119" t="s">
        <v>51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52</v>
      </c>
      <c r="B4" s="120"/>
      <c r="C4" s="120" t="s">
        <v>214</v>
      </c>
      <c r="D4" s="120"/>
      <c r="E4" s="120" t="s">
        <v>215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53</v>
      </c>
      <c r="B5" s="120"/>
      <c r="C5" s="120" t="s">
        <v>216</v>
      </c>
      <c r="D5" s="120"/>
      <c r="E5" s="120" t="s">
        <v>217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54</v>
      </c>
      <c r="B6" s="120"/>
      <c r="C6" s="120" t="s">
        <v>218</v>
      </c>
      <c r="D6" s="120"/>
      <c r="E6" s="120" t="s">
        <v>219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55</v>
      </c>
      <c r="B7" s="120"/>
      <c r="C7" s="120" t="s">
        <v>220</v>
      </c>
      <c r="D7" s="120"/>
      <c r="E7" s="120" t="s">
        <v>221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56</v>
      </c>
      <c r="B8" s="120"/>
      <c r="C8" s="120" t="s">
        <v>222</v>
      </c>
      <c r="D8" s="120"/>
      <c r="E8" s="120" t="s">
        <v>223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57</v>
      </c>
      <c r="B9" s="120"/>
      <c r="C9" s="120" t="s">
        <v>224</v>
      </c>
      <c r="D9" s="120"/>
      <c r="E9" s="120" t="s">
        <v>225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58</v>
      </c>
      <c r="B10" s="120" t="s">
        <v>226</v>
      </c>
      <c r="C10" s="120"/>
      <c r="D10" s="120" t="s">
        <v>227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59</v>
      </c>
      <c r="B11" s="120" t="s">
        <v>228</v>
      </c>
      <c r="C11" s="120" t="s">
        <v>229</v>
      </c>
      <c r="D11" s="120" t="s">
        <v>228</v>
      </c>
      <c r="E11" s="120" t="s">
        <v>230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60</v>
      </c>
      <c r="B12" s="120" t="s">
        <v>231</v>
      </c>
      <c r="C12" s="120"/>
      <c r="D12" s="120" t="s">
        <v>232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59</v>
      </c>
      <c r="B13" s="120" t="s">
        <v>233</v>
      </c>
      <c r="C13" s="120" t="s">
        <v>234</v>
      </c>
      <c r="D13" s="120" t="s">
        <v>233</v>
      </c>
      <c r="E13" s="120" t="s">
        <v>235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62</v>
      </c>
      <c r="B14" s="120"/>
      <c r="C14" s="120" t="s">
        <v>236</v>
      </c>
      <c r="D14" s="120"/>
      <c r="E14" s="120" t="s">
        <v>236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64</v>
      </c>
      <c r="B15" s="120"/>
      <c r="C15" s="120" t="s">
        <v>237</v>
      </c>
      <c r="D15" s="120"/>
      <c r="E15" s="120" t="s">
        <v>238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66</v>
      </c>
      <c r="B16" s="120"/>
      <c r="C16" s="120" t="s">
        <v>239</v>
      </c>
      <c r="D16" s="120"/>
      <c r="E16" s="120" t="s">
        <v>240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68</v>
      </c>
      <c r="B17" s="120"/>
      <c r="C17" s="120" t="s">
        <v>241</v>
      </c>
      <c r="D17" s="120"/>
      <c r="E17" s="120" t="s">
        <v>242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70</v>
      </c>
      <c r="B18" s="120"/>
      <c r="C18" s="120" t="s">
        <v>243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72</v>
      </c>
      <c r="B19" s="120"/>
      <c r="C19" s="120" t="s">
        <v>244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73</v>
      </c>
      <c r="B20" s="120"/>
      <c r="C20" s="120" t="s">
        <v>245</v>
      </c>
      <c r="D20" s="120"/>
      <c r="E20" s="120" t="s">
        <v>246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75</v>
      </c>
      <c r="B21" s="120"/>
      <c r="C21" s="120" t="s">
        <v>247</v>
      </c>
      <c r="D21" s="120"/>
      <c r="E21" s="120" t="s">
        <v>248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76</v>
      </c>
      <c r="B22" s="120"/>
      <c r="C22" s="120" t="s">
        <v>247</v>
      </c>
      <c r="D22" s="120"/>
      <c r="E22" s="120" t="s">
        <v>248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77</v>
      </c>
      <c r="B23" s="120"/>
      <c r="C23" s="120" t="s">
        <v>249</v>
      </c>
      <c r="D23" s="120"/>
      <c r="E23" s="120" t="s">
        <v>250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78</v>
      </c>
      <c r="B24" s="120"/>
      <c r="C24" s="120" t="s">
        <v>251</v>
      </c>
      <c r="D24" s="120"/>
      <c r="E24" s="120" t="s">
        <v>251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79</v>
      </c>
      <c r="B25" s="120"/>
      <c r="C25" s="120" t="s">
        <v>251</v>
      </c>
      <c r="D25" s="120"/>
      <c r="E25" s="120" t="s">
        <v>251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80</v>
      </c>
      <c r="B26" s="120"/>
      <c r="C26" s="120" t="s">
        <v>252</v>
      </c>
      <c r="D26" s="120"/>
      <c r="E26" s="120" t="s">
        <v>253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81</v>
      </c>
      <c r="B27" s="120"/>
      <c r="C27" s="120" t="s">
        <v>254</v>
      </c>
      <c r="D27" s="120"/>
      <c r="E27" s="120" t="s">
        <v>254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82</v>
      </c>
      <c r="B28" s="120" t="s">
        <v>255</v>
      </c>
      <c r="C28" s="120"/>
      <c r="D28" s="120" t="s">
        <v>255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83</v>
      </c>
      <c r="B29" s="120" t="s">
        <v>256</v>
      </c>
      <c r="C29" s="120" t="s">
        <v>257</v>
      </c>
      <c r="D29" s="120" t="s">
        <v>258</v>
      </c>
      <c r="E29" s="120" t="s">
        <v>259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84</v>
      </c>
      <c r="B30" s="120" t="s">
        <v>260</v>
      </c>
      <c r="C30" s="120"/>
      <c r="D30" s="120" t="s">
        <v>260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83</v>
      </c>
      <c r="B31" s="120" t="s">
        <v>261</v>
      </c>
      <c r="C31" s="120" t="s">
        <v>262</v>
      </c>
      <c r="D31" s="120" t="s">
        <v>261</v>
      </c>
      <c r="E31" s="120" t="s">
        <v>262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85</v>
      </c>
      <c r="B32" s="120" t="s">
        <v>263</v>
      </c>
      <c r="C32" s="120"/>
      <c r="D32" s="120" t="s">
        <v>264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83</v>
      </c>
      <c r="B33" s="120" t="s">
        <v>265</v>
      </c>
      <c r="C33" s="120" t="s">
        <v>266</v>
      </c>
      <c r="D33" s="120" t="s">
        <v>267</v>
      </c>
      <c r="E33" s="120" t="s">
        <v>268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86</v>
      </c>
      <c r="B34" s="120" t="s">
        <v>269</v>
      </c>
      <c r="C34" s="120"/>
      <c r="D34" s="120" t="s">
        <v>269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83</v>
      </c>
      <c r="B35" s="120" t="s">
        <v>270</v>
      </c>
      <c r="C35" s="120" t="s">
        <v>271</v>
      </c>
      <c r="D35" s="120" t="s">
        <v>272</v>
      </c>
      <c r="E35" s="120" t="s">
        <v>273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87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88</v>
      </c>
      <c r="B37" s="120"/>
      <c r="C37" s="120" t="s">
        <v>274</v>
      </c>
      <c r="D37" s="120"/>
      <c r="E37" s="120" t="s">
        <v>274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90</v>
      </c>
      <c r="B38" s="120"/>
      <c r="C38" s="120" t="s">
        <v>275</v>
      </c>
      <c r="D38" s="120"/>
      <c r="E38" s="120" t="s">
        <v>275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92</v>
      </c>
      <c r="B39" s="120"/>
      <c r="C39" s="120" t="s">
        <v>276</v>
      </c>
      <c r="D39" s="120"/>
      <c r="E39" s="120" t="s">
        <v>276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94</v>
      </c>
      <c r="B40" s="120"/>
      <c r="C40" s="120" t="s">
        <v>277</v>
      </c>
      <c r="D40" s="120"/>
      <c r="E40" s="120" t="s">
        <v>277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95</v>
      </c>
      <c r="B41" s="120"/>
      <c r="C41" s="120" t="s">
        <v>278</v>
      </c>
      <c r="D41" s="120"/>
      <c r="E41" s="120" t="s">
        <v>279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96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97</v>
      </c>
      <c r="B43" s="120"/>
      <c r="C43" s="120" t="s">
        <v>280</v>
      </c>
      <c r="D43" s="120"/>
      <c r="E43" s="120" t="s">
        <v>281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98</v>
      </c>
      <c r="B44" s="120"/>
      <c r="C44" s="120" t="s">
        <v>282</v>
      </c>
      <c r="D44" s="120"/>
      <c r="E44" s="120" t="s">
        <v>283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99</v>
      </c>
      <c r="B45" s="120"/>
      <c r="C45" s="120" t="s">
        <v>284</v>
      </c>
      <c r="D45" s="120"/>
      <c r="E45" s="120" t="s">
        <v>285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100</v>
      </c>
      <c r="B46" s="120"/>
      <c r="C46" s="120" t="s">
        <v>286</v>
      </c>
      <c r="D46" s="120"/>
      <c r="E46" s="120" t="s">
        <v>287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102</v>
      </c>
      <c r="B47" s="120"/>
      <c r="C47" s="120" t="s">
        <v>288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103</v>
      </c>
      <c r="B48" s="120"/>
      <c r="C48" s="120" t="s">
        <v>289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105</v>
      </c>
      <c r="B49" s="120"/>
      <c r="C49" s="120" t="s">
        <v>290</v>
      </c>
      <c r="D49" s="120"/>
      <c r="E49" s="120" t="s">
        <v>290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106</v>
      </c>
      <c r="B50" s="120"/>
      <c r="C50" s="120"/>
      <c r="D50" s="120"/>
      <c r="E50" s="120" t="s">
        <v>291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107</v>
      </c>
      <c r="B51" s="120"/>
      <c r="C51" s="120" t="s">
        <v>292</v>
      </c>
      <c r="D51" s="120"/>
      <c r="E51" s="120" t="s">
        <v>293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110</v>
      </c>
      <c r="B52" s="120"/>
      <c r="C52" s="120" t="s">
        <v>294</v>
      </c>
      <c r="D52" s="120"/>
      <c r="E52" s="120" t="s">
        <v>295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111</v>
      </c>
      <c r="B53" s="120"/>
      <c r="C53" s="120"/>
      <c r="D53" s="120"/>
      <c r="E53" s="120" t="s">
        <v>296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112</v>
      </c>
      <c r="B54" s="120"/>
      <c r="C54" s="120" t="s">
        <v>294</v>
      </c>
      <c r="D54" s="120"/>
      <c r="E54" s="120" t="s">
        <v>294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113</v>
      </c>
      <c r="B55" s="120"/>
      <c r="C55" s="120" t="s">
        <v>297</v>
      </c>
      <c r="D55" s="120"/>
      <c r="E55" s="120" t="s">
        <v>298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114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115</v>
      </c>
      <c r="B57" s="120"/>
      <c r="C57" s="120" t="s">
        <v>299</v>
      </c>
      <c r="D57" s="120"/>
      <c r="E57" s="120" t="s">
        <v>299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116</v>
      </c>
      <c r="B58" s="120"/>
      <c r="C58" s="120" t="s">
        <v>299</v>
      </c>
      <c r="D58" s="120"/>
      <c r="E58" s="120" t="s">
        <v>299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117</v>
      </c>
      <c r="B59" s="120"/>
      <c r="C59" s="120" t="s">
        <v>300</v>
      </c>
      <c r="D59" s="120"/>
      <c r="E59" s="120" t="s">
        <v>300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118</v>
      </c>
      <c r="B60" s="120"/>
      <c r="C60" s="120" t="s">
        <v>300</v>
      </c>
      <c r="D60" s="120"/>
      <c r="E60" s="120" t="s">
        <v>300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119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120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121</v>
      </c>
      <c r="B63" s="120"/>
      <c r="C63" s="120" t="s">
        <v>301</v>
      </c>
      <c r="D63" s="120"/>
      <c r="E63" s="120" t="s">
        <v>302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122</v>
      </c>
      <c r="B64" s="120"/>
      <c r="C64" s="120" t="s">
        <v>303</v>
      </c>
      <c r="D64" s="120"/>
      <c r="E64" s="120" t="s">
        <v>304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123</v>
      </c>
      <c r="B65" s="120"/>
      <c r="C65" s="120" t="s">
        <v>305</v>
      </c>
      <c r="D65" s="120"/>
      <c r="E65" s="120" t="s">
        <v>306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124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307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308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125</v>
      </c>
      <c r="B69" s="120"/>
      <c r="C69" s="120" t="s">
        <v>309</v>
      </c>
      <c r="D69" s="120"/>
      <c r="E69" s="120" t="s">
        <v>310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126</v>
      </c>
      <c r="B70" s="120"/>
      <c r="C70" s="120" t="s">
        <v>278</v>
      </c>
      <c r="D70" s="120"/>
      <c r="E70" s="120" t="s">
        <v>279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43</v>
      </c>
      <c r="B1" s="118" t="s">
        <v>185</v>
      </c>
      <c r="C1" s="123" t="s">
        <v>186</v>
      </c>
      <c r="D1" s="123" t="s">
        <v>187</v>
      </c>
      <c r="E1" s="123" t="s">
        <v>188</v>
      </c>
      <c r="F1" s="123" t="s">
        <v>189</v>
      </c>
      <c r="G1" s="123" t="s">
        <v>190</v>
      </c>
      <c r="H1" s="123" t="s">
        <v>191</v>
      </c>
      <c r="I1" s="123" t="s">
        <v>311</v>
      </c>
      <c r="J1" s="123" t="s">
        <v>312</v>
      </c>
      <c r="K1" s="123" t="s">
        <v>313</v>
      </c>
      <c r="L1" s="123" t="s">
        <v>314</v>
      </c>
      <c r="M1" s="123" t="s">
        <v>315</v>
      </c>
      <c r="N1" s="123" t="s">
        <v>316</v>
      </c>
    </row>
    <row r="2" spans="1:17" ht="13.5" customHeight="1">
      <c r="A2" s="121" t="s">
        <v>130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 s="125">
        <v>2306642756</v>
      </c>
      <c r="J2" s="125"/>
      <c r="K2" s="125"/>
      <c r="L2" s="125"/>
      <c r="M2" s="125"/>
      <c r="N2" s="125"/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131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 s="125">
        <v>2306642756</v>
      </c>
      <c r="J3" s="125"/>
      <c r="K3" s="125"/>
      <c r="L3" s="125"/>
      <c r="M3" s="125"/>
      <c r="N3" s="125"/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132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 s="125">
        <v>0</v>
      </c>
      <c r="J4" s="125"/>
      <c r="K4" s="125"/>
      <c r="L4" s="125"/>
      <c r="M4" s="125"/>
      <c r="N4" s="125"/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133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 s="125">
        <v>1849254182</v>
      </c>
      <c r="J5" s="125"/>
      <c r="K5" s="125"/>
      <c r="L5" s="125"/>
      <c r="M5" s="125"/>
      <c r="N5" s="125"/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134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 s="125">
        <v>1849254182</v>
      </c>
      <c r="J6" s="125"/>
      <c r="K6" s="125"/>
      <c r="L6" s="125"/>
      <c r="M6" s="125"/>
      <c r="N6" s="125"/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135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 s="125">
        <v>2999324483</v>
      </c>
      <c r="J7" s="125"/>
      <c r="K7" s="125"/>
      <c r="L7" s="125"/>
      <c r="M7" s="125"/>
      <c r="N7" s="125"/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136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 s="125">
        <v>1731716093</v>
      </c>
      <c r="J8" s="125"/>
      <c r="K8" s="125"/>
      <c r="L8" s="125"/>
      <c r="M8" s="125"/>
      <c r="N8" s="125"/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137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 s="125">
        <v>18170958</v>
      </c>
      <c r="J9" s="125"/>
      <c r="K9" s="125"/>
      <c r="L9" s="125"/>
      <c r="M9" s="125"/>
      <c r="N9" s="125"/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138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 s="125">
        <v>2863615436</v>
      </c>
      <c r="J10" s="125"/>
      <c r="K10" s="125"/>
      <c r="L10" s="125"/>
      <c r="M10" s="125"/>
      <c r="N10" s="125"/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139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 s="125">
        <v>457388574</v>
      </c>
      <c r="J11" s="125"/>
      <c r="K11" s="125"/>
      <c r="L11" s="125"/>
      <c r="M11" s="125"/>
      <c r="N11" s="125"/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140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 s="125">
        <v>290478706</v>
      </c>
      <c r="J12" s="125"/>
      <c r="K12" s="125"/>
      <c r="L12" s="125"/>
      <c r="M12" s="125"/>
      <c r="N12" s="125"/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142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 s="125">
        <v>168626792</v>
      </c>
      <c r="J13" s="125"/>
      <c r="K13" s="125"/>
      <c r="L13" s="125"/>
      <c r="M13" s="125"/>
      <c r="N13" s="125"/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146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 s="125">
        <v>0</v>
      </c>
      <c r="J14" s="125"/>
      <c r="K14" s="125"/>
      <c r="L14" s="125"/>
      <c r="M14" s="125"/>
      <c r="N14" s="125"/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147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 s="125">
        <v>18127455</v>
      </c>
      <c r="J15" s="125"/>
      <c r="K15" s="125"/>
      <c r="L15" s="125"/>
      <c r="M15" s="125"/>
      <c r="N15" s="125"/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148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 s="125">
        <v>636400</v>
      </c>
      <c r="J16" s="125"/>
      <c r="K16" s="125"/>
      <c r="L16" s="125"/>
      <c r="M16" s="125"/>
      <c r="N16" s="125"/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149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 s="125">
        <v>5192422</v>
      </c>
      <c r="J17" s="125"/>
      <c r="K17" s="125"/>
      <c r="L17" s="125"/>
      <c r="M17" s="125"/>
      <c r="N17" s="125"/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150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 s="125">
        <v>1509882</v>
      </c>
      <c r="J18" s="125"/>
      <c r="K18" s="125"/>
      <c r="L18" s="125"/>
      <c r="M18" s="125"/>
      <c r="N18" s="125"/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151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 s="125">
        <v>46640</v>
      </c>
      <c r="J19" s="125"/>
      <c r="K19" s="125"/>
      <c r="L19" s="125"/>
      <c r="M19" s="125"/>
      <c r="N19" s="125"/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152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 s="125">
        <v>1251761</v>
      </c>
      <c r="J20" s="125"/>
      <c r="K20" s="125"/>
      <c r="L20" s="125"/>
      <c r="M20" s="125"/>
      <c r="N20" s="125"/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153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 s="125">
        <v>9505300</v>
      </c>
      <c r="J21" s="125"/>
      <c r="K21" s="125"/>
      <c r="L21" s="125"/>
      <c r="M21" s="125"/>
      <c r="N21" s="125"/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154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 s="125">
        <v>11662649</v>
      </c>
      <c r="J22" s="125"/>
      <c r="K22" s="125"/>
      <c r="L22" s="125"/>
      <c r="M22" s="125"/>
      <c r="N22" s="125"/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155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156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 s="125">
        <v>3231430</v>
      </c>
      <c r="J24" s="125"/>
      <c r="K24" s="125"/>
      <c r="L24" s="125"/>
      <c r="M24" s="125"/>
      <c r="N24" s="125"/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157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 s="125">
        <v>25875037</v>
      </c>
      <c r="J25" s="125"/>
      <c r="K25" s="125"/>
      <c r="L25" s="125"/>
      <c r="M25" s="125"/>
      <c r="N25" s="125"/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158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 s="125">
        <v>1038336</v>
      </c>
      <c r="J26" s="125"/>
      <c r="K26" s="125"/>
      <c r="L26" s="125"/>
      <c r="M26" s="125"/>
      <c r="N26" s="125"/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160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 s="125">
        <v>5562265</v>
      </c>
      <c r="J27" s="125"/>
      <c r="K27" s="125"/>
      <c r="L27" s="125"/>
      <c r="M27" s="125"/>
      <c r="N27" s="125"/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161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 s="125">
        <v>24712337</v>
      </c>
      <c r="J28" s="125"/>
      <c r="K28" s="125"/>
      <c r="L28" s="125"/>
      <c r="M28" s="125"/>
      <c r="N28" s="125"/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163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 s="125">
        <v>0</v>
      </c>
      <c r="J29" s="125"/>
      <c r="K29" s="125"/>
      <c r="L29" s="125"/>
      <c r="M29" s="125"/>
      <c r="N29" s="125"/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164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 s="125">
        <v>166909868</v>
      </c>
      <c r="J30" s="125"/>
      <c r="K30" s="125"/>
      <c r="L30" s="125"/>
      <c r="M30" s="125"/>
      <c r="N30" s="125"/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165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 s="125">
        <v>8088561</v>
      </c>
      <c r="J31" s="125"/>
      <c r="K31" s="125"/>
      <c r="L31" s="125"/>
      <c r="M31" s="125"/>
      <c r="N31" s="125"/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166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 s="125">
        <v>4637774</v>
      </c>
      <c r="J32" s="125"/>
      <c r="K32" s="125"/>
      <c r="L32" s="125"/>
      <c r="M32" s="125"/>
      <c r="N32" s="125"/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167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 s="125">
        <v>0</v>
      </c>
      <c r="J33" s="125"/>
      <c r="K33" s="125"/>
      <c r="L33" s="125"/>
      <c r="M33" s="125"/>
      <c r="N33" s="125"/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317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 s="125">
        <v>0</v>
      </c>
      <c r="J34" s="125"/>
      <c r="K34" s="125"/>
      <c r="L34" s="125"/>
      <c r="M34" s="125"/>
      <c r="N34" s="125"/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172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 s="125">
        <v>3450787</v>
      </c>
      <c r="J35" s="125"/>
      <c r="K35" s="125"/>
      <c r="L35" s="125"/>
      <c r="M35" s="125"/>
      <c r="N35" s="125"/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173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 s="125">
        <v>1930</v>
      </c>
      <c r="J36" s="125"/>
      <c r="K36" s="125"/>
      <c r="L36" s="125"/>
      <c r="M36" s="125"/>
      <c r="N36" s="125"/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175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 s="125">
        <v>0</v>
      </c>
      <c r="J37" s="125"/>
      <c r="K37" s="125"/>
      <c r="L37" s="125"/>
      <c r="M37" s="125"/>
      <c r="N37" s="125"/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178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 s="125">
        <v>0</v>
      </c>
      <c r="J38" s="125"/>
      <c r="K38" s="125"/>
      <c r="L38" s="125"/>
      <c r="M38" s="125"/>
      <c r="N38" s="125"/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179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 s="125">
        <v>1930</v>
      </c>
      <c r="J39" s="125"/>
      <c r="K39" s="125"/>
      <c r="L39" s="125"/>
      <c r="M39" s="125"/>
      <c r="N39" s="125"/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181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 s="125">
        <v>174996499</v>
      </c>
      <c r="J40" s="125"/>
      <c r="K40" s="125"/>
      <c r="L40" s="125"/>
      <c r="M40" s="125"/>
      <c r="N40" s="125"/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182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 s="125">
        <v>0</v>
      </c>
      <c r="J41" s="125"/>
      <c r="K41" s="125"/>
      <c r="L41" s="125"/>
      <c r="M41" s="125"/>
      <c r="N41" s="125"/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184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 s="124">
        <v>174996499</v>
      </c>
      <c r="J42" s="124"/>
      <c r="K42" s="124"/>
      <c r="L42" s="124"/>
      <c r="M42" s="124"/>
      <c r="N42" s="124"/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43</v>
      </c>
      <c r="B1" s="118" t="s">
        <v>185</v>
      </c>
      <c r="C1" s="123" t="s">
        <v>186</v>
      </c>
      <c r="D1" s="123" t="s">
        <v>187</v>
      </c>
      <c r="E1" s="123" t="s">
        <v>188</v>
      </c>
      <c r="F1" s="123" t="s">
        <v>189</v>
      </c>
      <c r="G1" s="123" t="s">
        <v>190</v>
      </c>
      <c r="H1" s="123" t="s">
        <v>191</v>
      </c>
      <c r="I1" s="123" t="s">
        <v>311</v>
      </c>
      <c r="J1" s="123" t="s">
        <v>312</v>
      </c>
      <c r="K1" s="123" t="s">
        <v>313</v>
      </c>
      <c r="L1" s="123" t="s">
        <v>314</v>
      </c>
      <c r="M1" s="123" t="s">
        <v>315</v>
      </c>
      <c r="N1" s="123" t="s">
        <v>316</v>
      </c>
    </row>
    <row r="2" spans="1:16" ht="13.5" customHeight="1">
      <c r="A2" s="121" t="s">
        <v>130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131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132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133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134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135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136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137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138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139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140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142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146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147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148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149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150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151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152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153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154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155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156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157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158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160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161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163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164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165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166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317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172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173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175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179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180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181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182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184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8" t="s">
        <v>43</v>
      </c>
      <c r="B1" s="158" t="s">
        <v>44</v>
      </c>
      <c r="C1" s="159"/>
      <c r="D1" s="158" t="s">
        <v>46</v>
      </c>
      <c r="E1" s="159"/>
    </row>
    <row r="2" spans="1:7" ht="18.75" customHeight="1">
      <c r="A2" s="161"/>
      <c r="B2" s="158" t="s">
        <v>49</v>
      </c>
      <c r="C2" s="159"/>
      <c r="D2" s="158" t="s">
        <v>50</v>
      </c>
      <c r="E2" s="159"/>
    </row>
    <row r="3" spans="1:7" ht="13.5" customHeight="1">
      <c r="A3" s="121" t="s">
        <v>130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131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132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133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134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135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136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137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138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139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140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142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144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145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146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147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148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149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150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151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152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153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154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155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156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157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158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160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161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162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163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164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165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166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167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317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172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173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175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176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178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179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181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182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183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184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2026-10-01T01:22:16Z</cp:lastPrinted>
  <dcterms:created xsi:type="dcterms:W3CDTF">2022-09-29T02:43:59Z</dcterms:created>
  <dcterms:modified xsi:type="dcterms:W3CDTF">2026-10-01T01:22:31Z</dcterms:modified>
  <dc:language>en-US</dc:language>
</cp:coreProperties>
</file>