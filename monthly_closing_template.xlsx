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인덱스" sheetId="1" state="visible" r:id="rId3"/>
    <sheet name="요약" sheetId="2" state="visible" r:id="rId4"/>
    <sheet name="재무상태표(내역)" sheetId="3" state="visible" r:id="rId5"/>
    <sheet name="매출액대비 비율분석" sheetId="4" state="visible" r:id="rId6"/>
    <sheet name="전월대비증감" sheetId="5" state="visible" r:id="rId7"/>
    <sheet name="재무상태표" sheetId="6" state="visible" r:id="rId8"/>
    <sheet name="기간별손익계산서" sheetId="7" state="visible" r:id="rId9"/>
    <sheet name="기간별손익계산서(전년동기)" sheetId="8" state="visible" r:id="rId10"/>
    <sheet name="손익계산서" sheetId="9" state="visible" r:id="rId11"/>
  </sheets>
  <definedNames>
    <definedName function="false" hidden="false" localSheetId="6" name="_xlnm.Print_Area" vbProcedure="false">기간별손익계산서!$A$1:$G$48</definedName>
    <definedName function="false" hidden="false" localSheetId="3" name="_xlnm.Print_Area" vbProcedure="false">'매출액대비 비율분석'!$A$1:$K$61</definedName>
    <definedName function="false" hidden="false" localSheetId="8" name="_xlnm.Print_Area" vbProcedure="false">손익계산서!$A$1:$E$55</definedName>
    <definedName function="false" hidden="false" localSheetId="0" name="_xlnm.Print_Area" vbProcedure="false">인덱스!$A$1:$H$19</definedName>
    <definedName function="false" hidden="false" localSheetId="5" name="_xlnm.Print_Area" vbProcedure="false">재무상태표!$A$1:$E$74</definedName>
    <definedName function="false" hidden="false" localSheetId="2" name="_xlnm.Print_Area" vbProcedure="false">'재무상태표(내역)'!$A$1:$K$80</definedName>
    <definedName function="false" hidden="false" localSheetId="2" name="_xlnm.Print_Titles" vbProcedure="false">'재무상태표(내역)'!$1:$8</definedName>
    <definedName function="false" hidden="false" localSheetId="4" name="_xlnm.Print_Area" vbProcedure="false">전월대비증감!$A$1:$Q$55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1" authorId="0">
      <text>
        <r>
          <rPr>
            <sz val="10"/>
            <rFont val="Arial"/>
            <family val="2"/>
          </rPr>
          <t xml:space="preserve">12</t>
        </r>
        <r>
          <rPr>
            <sz val="10"/>
            <rFont val="Noto Sans CJK SC"/>
            <family val="2"/>
          </rPr>
          <t xml:space="preserve">월말 이자수익과 상계처리</t>
        </r>
      </text>
    </comment>
  </commentList>
</comments>
</file>

<file path=xl/sharedStrings.xml><?xml version="1.0" encoding="utf-8"?>
<sst xmlns="http://schemas.openxmlformats.org/spreadsheetml/2006/main" count="653" uniqueCount="354">
  <si>
    <t xml:space="preserve">결산기준일</t>
  </si>
  <si>
    <t xml:space="preserve">(이 날짜만 바꾸면 아래 목록 및 재무상태표(내역)/전월대비증감/매출액대비 비율분석 시트의 기간 문구가 자동으로 바뀝니다)</t>
  </si>
  <si>
    <t xml:space="preserve">I N D E X</t>
  </si>
  <si>
    <t xml:space="preserve"> </t>
  </si>
  <si>
    <t xml:space="preserve">NO</t>
  </si>
  <si>
    <t xml:space="preserve">구분</t>
  </si>
  <si>
    <t xml:space="preserve">핵심지표 요약 </t>
  </si>
  <si>
    <t xml:space="preserve">결재</t>
  </si>
  <si>
    <t xml:space="preserve">담당</t>
  </si>
  <si>
    <t xml:space="preserve">이사</t>
  </si>
  <si>
    <t xml:space="preserve">임원</t>
  </si>
  <si>
    <t xml:space="preserve">사장</t>
  </si>
  <si>
    <t xml:space="preserve">핵심지표 요약</t>
  </si>
  <si>
    <t xml:space="preserve">■ 손익 요약  (단위: 천원)</t>
  </si>
  <si>
    <t xml:space="preserve">전년동기 대비 (2025년 1~6월)</t>
  </si>
  <si>
    <t xml:space="preserve">전기 대비 (2025년 연간)</t>
  </si>
  <si>
    <t xml:space="preserve">당기(1~6월)</t>
  </si>
  <si>
    <t xml:space="preserve">전년동기(1~6월)</t>
  </si>
  <si>
    <t xml:space="preserve">증감액</t>
  </si>
  <si>
    <t xml:space="preserve">증감률</t>
  </si>
  <si>
    <t xml:space="preserve">전기(연간)</t>
  </si>
  <si>
    <t xml:space="preserve">매출액</t>
  </si>
  <si>
    <t xml:space="preserve">매출원가</t>
  </si>
  <si>
    <t xml:space="preserve">매출총이익</t>
  </si>
  <si>
    <t xml:space="preserve">판매관리비</t>
  </si>
  <si>
    <t xml:space="preserve">영업이익</t>
  </si>
  <si>
    <t xml:space="preserve">영업외수익</t>
  </si>
  <si>
    <t xml:space="preserve">영업외비용</t>
  </si>
  <si>
    <t xml:space="preserve">법인세차감전순이익</t>
  </si>
  <si>
    <t xml:space="preserve">법인세비용</t>
  </si>
  <si>
    <t xml:space="preserve">당기순이익</t>
  </si>
  <si>
    <t xml:space="preserve">영업이익률(매출액대비)</t>
  </si>
  <si>
    <t xml:space="preserve">당기순이익률(매출액대비)</t>
  </si>
  <si>
    <t xml:space="preserve">■ 재무상태 요약  (단위: 천원)</t>
  </si>
  <si>
    <t xml:space="preserve">당기</t>
  </si>
  <si>
    <t xml:space="preserve">전기</t>
  </si>
  <si>
    <t xml:space="preserve">자산총계</t>
  </si>
  <si>
    <t xml:space="preserve">부채총계</t>
  </si>
  <si>
    <t xml:space="preserve">자본총계</t>
  </si>
  <si>
    <t xml:space="preserve">부채비율(부채/자본)</t>
  </si>
  <si>
    <t xml:space="preserve">■ 월별 추이 (매출액 · 영업이익)  (단위: 천원)</t>
  </si>
  <si>
    <t xml:space="preserve">월</t>
  </si>
  <si>
    <t xml:space="preserve">총계</t>
  </si>
  <si>
    <t xml:space="preserve">특이사항 : 전년동기(1~5월) 영업외비용에 법인세추납액 3,100만원 포함(업무용승용차 비용 불인정 법인세 납부액)</t>
  </si>
  <si>
    <t xml:space="preserve">재 무 상 태 표</t>
  </si>
  <si>
    <t xml:space="preserve">㈜창현</t>
  </si>
  <si>
    <t xml:space="preserve">단위 : 원</t>
  </si>
  <si>
    <t xml:space="preserve">과  목</t>
  </si>
  <si>
    <t xml:space="preserve">제 35 (당)기</t>
  </si>
  <si>
    <t xml:space="preserve">내역</t>
  </si>
  <si>
    <t xml:space="preserve">제 34 (전)기</t>
  </si>
  <si>
    <t xml:space="preserve">증감</t>
  </si>
  <si>
    <t xml:space="preserve">일치확인</t>
  </si>
  <si>
    <t xml:space="preserve">금    액</t>
  </si>
  <si>
    <t xml:space="preserve">금   액</t>
  </si>
  <si>
    <t xml:space="preserve"> 자             산 </t>
  </si>
  <si>
    <r>
      <rPr>
        <b val="true"/>
        <sz val="9"/>
        <rFont val="굴림체"/>
        <family val="3"/>
        <charset val="129"/>
      </rPr>
      <t xml:space="preserve"> Ⅰ. </t>
    </r>
    <r>
      <rPr>
        <b val="true"/>
        <sz val="9"/>
        <rFont val="Noto Sans CJK SC"/>
        <family val="2"/>
      </rPr>
      <t xml:space="preserve">유  동    자  산  </t>
    </r>
  </si>
  <si>
    <r>
      <rPr>
        <sz val="9"/>
        <color rgb="FF333333"/>
        <rFont val="굴림체"/>
        <family val="3"/>
        <charset val="129"/>
      </rPr>
      <t xml:space="preserve"> (1) </t>
    </r>
    <r>
      <rPr>
        <sz val="9"/>
        <color rgb="FF333333"/>
        <rFont val="Noto Sans CJK SC"/>
        <family val="2"/>
      </rPr>
      <t xml:space="preserve">당  좌    자  산 </t>
    </r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</si>
  <si>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</si>
  <si>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</si>
  <si>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</si>
  <si>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</si>
  <si>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</si>
  <si>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</si>
  <si>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</si>
  <si>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</si>
  <si>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</si>
  <si>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 xml:space="preserve">단기채권</t>
  </si>
  <si>
    <t xml:space="preserve">      미      수      금</t>
  </si>
  <si>
    <t xml:space="preserve">카드, 구매카드(KnS리테일)</t>
  </si>
  <si>
    <t xml:space="preserve">      선      급      금</t>
  </si>
  <si>
    <t xml:space="preserve">안현주유소(1백만)</t>
  </si>
  <si>
    <t xml:space="preserve">      선   급    비   용</t>
  </si>
  <si>
    <r>
      <rPr>
        <sz val="9"/>
        <color rgb="FF333333"/>
        <rFont val="굴림체"/>
        <family val="3"/>
        <charset val="129"/>
      </rPr>
      <t xml:space="preserve">KB,DB</t>
    </r>
    <r>
      <rPr>
        <sz val="9"/>
        <color rgb="FF333333"/>
        <rFont val="Noto Sans CJK SC"/>
        <family val="2"/>
      </rPr>
      <t xml:space="preserve">손해보험</t>
    </r>
    <r>
      <rPr>
        <sz val="9"/>
        <color rgb="FF333333"/>
        <rFont val="굴림체"/>
        <family val="3"/>
        <charset val="129"/>
      </rPr>
      <t xml:space="preserve">,</t>
    </r>
    <r>
      <rPr>
        <sz val="9"/>
        <color rgb="FF333333"/>
        <rFont val="Noto Sans CJK SC"/>
        <family val="2"/>
      </rPr>
      <t xml:space="preserve">삼성화재</t>
    </r>
  </si>
  <si>
    <t xml:space="preserve">      가   지    급   금</t>
  </si>
  <si>
    <t xml:space="preserve">단기대여 9억(윤인희), 차량과태료외</t>
  </si>
  <si>
    <t xml:space="preserve">      부 가 세  대 급 금</t>
  </si>
  <si>
    <t xml:space="preserve">      선   납    세   금</t>
  </si>
  <si>
    <t xml:space="preserve">금융투자상품 이자소득세외</t>
  </si>
  <si>
    <r>
      <rPr>
        <sz val="9"/>
        <color rgb="FF333333"/>
        <rFont val="굴림체"/>
        <family val="3"/>
        <charset val="129"/>
      </rPr>
      <t xml:space="preserve"> (2) </t>
    </r>
    <r>
      <rPr>
        <sz val="9"/>
        <color rgb="FF333333"/>
        <rFont val="Noto Sans CJK SC"/>
        <family val="2"/>
      </rPr>
      <t xml:space="preserve">재  고    자  산 </t>
    </r>
  </si>
  <si>
    <t xml:space="preserve">      상              품</t>
  </si>
  <si>
    <r>
      <rPr>
        <b val="true"/>
        <sz val="9"/>
        <rFont val="굴림체"/>
        <family val="3"/>
        <charset val="129"/>
      </rPr>
      <t xml:space="preserve"> Ⅱ. </t>
    </r>
    <r>
      <rPr>
        <b val="true"/>
        <sz val="9"/>
        <rFont val="Noto Sans CJK SC"/>
        <family val="2"/>
      </rPr>
      <t xml:space="preserve">비  유  동  자  산  </t>
    </r>
  </si>
  <si>
    <r>
      <rPr>
        <sz val="9"/>
        <color rgb="FF333333"/>
        <rFont val="굴림체"/>
        <family val="3"/>
        <charset val="129"/>
      </rPr>
      <t xml:space="preserve"> (1) </t>
    </r>
    <r>
      <rPr>
        <sz val="9"/>
        <color rgb="FF333333"/>
        <rFont val="Noto Sans CJK SC"/>
        <family val="2"/>
      </rPr>
      <t xml:space="preserve">투  자    자  산  </t>
    </r>
  </si>
  <si>
    <t xml:space="preserve">      매 도 가  능 증 권</t>
  </si>
  <si>
    <r>
      <rPr>
        <sz val="9"/>
        <color rgb="FF333333"/>
        <rFont val="굴림체"/>
        <family val="3"/>
        <charset val="129"/>
      </rPr>
      <t xml:space="preserve"> (2) </t>
    </r>
    <r>
      <rPr>
        <sz val="9"/>
        <color rgb="FF333333"/>
        <rFont val="Noto Sans CJK SC"/>
        <family val="2"/>
      </rPr>
      <t xml:space="preserve">유  형    자  산  </t>
    </r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</si>
  <si>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</si>
  <si>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</si>
  <si>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</si>
  <si>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</si>
  <si>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</si>
  <si>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</si>
  <si>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r>
      <rPr>
        <sz val="9"/>
        <color rgb="FF333333"/>
        <rFont val="굴림체"/>
        <family val="3"/>
        <charset val="129"/>
      </rPr>
      <t xml:space="preserve"> (3) </t>
    </r>
    <r>
      <rPr>
        <sz val="9"/>
        <color rgb="FF333333"/>
        <rFont val="Noto Sans CJK SC"/>
        <family val="2"/>
      </rPr>
      <t xml:space="preserve">무  형    자  산 </t>
    </r>
  </si>
  <si>
    <r>
      <rPr>
        <sz val="9"/>
        <color rgb="FF333333"/>
        <rFont val="굴림체"/>
        <family val="3"/>
        <charset val="129"/>
      </rPr>
      <t xml:space="preserve"> (4) </t>
    </r>
    <r>
      <rPr>
        <sz val="9"/>
        <color rgb="FF333333"/>
        <rFont val="Noto Sans CJK SC"/>
        <family val="2"/>
      </rPr>
      <t xml:space="preserve">기타  비유동자산  </t>
    </r>
  </si>
  <si>
    <t xml:space="preserve">      장 기 외 상 매출금</t>
  </si>
  <si>
    <t xml:space="preserve">      임  차  보  증  금</t>
  </si>
  <si>
    <t xml:space="preserve">강북 6천,강서 4.5천,영남 3천,본사 5백만</t>
  </si>
  <si>
    <t xml:space="preserve">      기  타  보  증  금</t>
  </si>
  <si>
    <t xml:space="preserve">리조트골프회원권(3건) 외</t>
  </si>
  <si>
    <t xml:space="preserve">      전신 전화 가 입 권</t>
  </si>
  <si>
    <t xml:space="preserve">자    산    총    계</t>
  </si>
  <si>
    <t xml:space="preserve"> 부             채 </t>
  </si>
  <si>
    <r>
      <rPr>
        <b val="true"/>
        <sz val="9"/>
        <rFont val="굴림체"/>
        <family val="3"/>
        <charset val="129"/>
      </rPr>
      <t xml:space="preserve"> Ⅰ. </t>
    </r>
    <r>
      <rPr>
        <b val="true"/>
        <sz val="9"/>
        <rFont val="Noto Sans CJK SC"/>
        <family val="2"/>
      </rPr>
      <t xml:space="preserve">유  동    부  채  </t>
    </r>
  </si>
  <si>
    <t xml:space="preserve">      외  상  매  입  금</t>
  </si>
  <si>
    <t xml:space="preserve">      미   지    급   금</t>
  </si>
  <si>
    <t xml:space="preserve">      예      수      금</t>
  </si>
  <si>
    <r>
      <rPr>
        <sz val="9"/>
        <color rgb="FF333333"/>
        <rFont val="굴림체"/>
        <family val="3"/>
        <charset val="129"/>
      </rPr>
      <t xml:space="preserve">4</t>
    </r>
    <r>
      <rPr>
        <sz val="9"/>
        <color rgb="FF333333"/>
        <rFont val="Noto Sans CJK SC"/>
        <family val="2"/>
      </rPr>
      <t xml:space="preserve">대보험외 직원공제분</t>
    </r>
  </si>
  <si>
    <t xml:space="preserve">      부 가 세 예  수 금</t>
  </si>
  <si>
    <t xml:space="preserve">      가      수      금</t>
  </si>
  <si>
    <t xml:space="preserve">한국엡손외</t>
  </si>
  <si>
    <t xml:space="preserve">      선      수      금</t>
  </si>
  <si>
    <t xml:space="preserve">      미  지  급  세  금</t>
  </si>
  <si>
    <t xml:space="preserve">      미  지  급  비  용</t>
  </si>
  <si>
    <t xml:space="preserve">당해 급여외 미지급분</t>
  </si>
  <si>
    <t xml:space="preserve">      미 지 급  배 당 금</t>
  </si>
  <si>
    <r>
      <rPr>
        <b val="true"/>
        <sz val="9"/>
        <rFont val="굴림체"/>
        <family val="3"/>
        <charset val="129"/>
      </rPr>
      <t xml:space="preserve"> Ⅱ. </t>
    </r>
    <r>
      <rPr>
        <b val="true"/>
        <sz val="9"/>
        <rFont val="Noto Sans CJK SC"/>
        <family val="2"/>
      </rPr>
      <t xml:space="preserve">비  유  동  부  채  </t>
    </r>
  </si>
  <si>
    <t xml:space="preserve">      퇴직 급여 충 당 금</t>
  </si>
  <si>
    <t xml:space="preserve">      국민 연금 전 환 금</t>
  </si>
  <si>
    <t xml:space="preserve">부    채    총    계</t>
  </si>
  <si>
    <t xml:space="preserve"> 자             본 </t>
  </si>
  <si>
    <r>
      <rPr>
        <b val="true"/>
        <sz val="9"/>
        <rFont val="굴림체"/>
        <family val="3"/>
        <charset val="129"/>
      </rPr>
      <t xml:space="preserve"> Ⅰ. </t>
    </r>
    <r>
      <rPr>
        <b val="true"/>
        <sz val="9"/>
        <rFont val="Noto Sans CJK SC"/>
        <family val="2"/>
      </rPr>
      <t xml:space="preserve">자      본      금  </t>
    </r>
  </si>
  <si>
    <t xml:space="preserve">      자     본       금</t>
  </si>
  <si>
    <r>
      <rPr>
        <b val="true"/>
        <sz val="9"/>
        <rFont val="굴림체"/>
        <family val="3"/>
        <charset val="129"/>
      </rPr>
      <t xml:space="preserve"> Ⅱ. </t>
    </r>
    <r>
      <rPr>
        <b val="true"/>
        <sz val="9"/>
        <rFont val="Noto Sans CJK SC"/>
        <family val="2"/>
      </rPr>
      <t xml:space="preserve">자  본  잉  여  금  </t>
    </r>
  </si>
  <si>
    <t xml:space="preserve">      주식 발행 초 과 금</t>
  </si>
  <si>
    <r>
      <rPr>
        <b val="true"/>
        <sz val="9"/>
        <rFont val="굴림체"/>
        <family val="3"/>
        <charset val="129"/>
      </rPr>
      <t xml:space="preserve"> Ⅲ. </t>
    </r>
    <r>
      <rPr>
        <b val="true"/>
        <sz val="9"/>
        <rFont val="Noto Sans CJK SC"/>
        <family val="2"/>
      </rPr>
      <t xml:space="preserve">자   본    조   정  </t>
    </r>
  </si>
  <si>
    <r>
      <rPr>
        <b val="true"/>
        <sz val="9"/>
        <rFont val="굴림체"/>
        <family val="3"/>
        <charset val="129"/>
      </rPr>
      <t xml:space="preserve"> Ⅳ. </t>
    </r>
    <r>
      <rPr>
        <b val="true"/>
        <sz val="9"/>
        <rFont val="Noto Sans CJK SC"/>
        <family val="2"/>
      </rPr>
      <t xml:space="preserve">기타포괄손익누계액  </t>
    </r>
  </si>
  <si>
    <r>
      <rPr>
        <b val="true"/>
        <sz val="9"/>
        <rFont val="굴림체"/>
        <family val="3"/>
        <charset val="129"/>
      </rPr>
      <t xml:space="preserve"> Ⅴ. </t>
    </r>
    <r>
      <rPr>
        <b val="true"/>
        <sz val="9"/>
        <rFont val="Noto Sans CJK SC"/>
        <family val="2"/>
      </rPr>
      <t xml:space="preserve">이  익  잉  여  금  </t>
    </r>
  </si>
  <si>
    <t xml:space="preserve">      이  익  준  비  금</t>
  </si>
  <si>
    <t xml:space="preserve">  미처분  이익  잉여금</t>
  </si>
  <si>
    <r>
      <rPr>
        <sz val="9"/>
        <color rgb="FF333333"/>
        <rFont val="굴림체"/>
        <family val="3"/>
        <charset val="129"/>
      </rPr>
      <t xml:space="preserve">   ( </t>
    </r>
    <r>
      <rPr>
        <sz val="9"/>
        <color rgb="FF333333"/>
        <rFont val="Noto Sans CJK SC"/>
        <family val="2"/>
      </rPr>
      <t xml:space="preserve">당 기 순 이 익 </t>
    </r>
    <r>
      <rPr>
        <sz val="9"/>
        <color rgb="FF333333"/>
        <rFont val="굴림체"/>
        <family val="3"/>
        <charset val="129"/>
      </rPr>
      <t xml:space="preserve">)</t>
    </r>
  </si>
  <si>
    <t xml:space="preserve">자    본    총    계</t>
  </si>
  <si>
    <t xml:space="preserve">부 채 및 자 본 총 계</t>
  </si>
  <si>
    <t xml:space="preserve">손익계산서(매출액대비 비율분석)</t>
  </si>
  <si>
    <t xml:space="preserve">매출액대비 비율</t>
  </si>
  <si>
    <t xml:space="preserve">비율증감(%p)</t>
  </si>
  <si>
    <r>
      <rPr>
        <b val="true"/>
        <sz val="9"/>
        <rFont val="굴림체"/>
        <family val="3"/>
        <charset val="129"/>
      </rPr>
      <t xml:space="preserve">Ⅰ  . </t>
    </r>
    <r>
      <rPr>
        <b val="true"/>
        <sz val="9"/>
        <rFont val="Noto Sans CJK SC"/>
        <family val="2"/>
      </rPr>
      <t xml:space="preserve">매      출      액</t>
    </r>
  </si>
  <si>
    <t xml:space="preserve">      상    품   매   출</t>
  </si>
  <si>
    <t xml:space="preserve">      상 품  수 출 매 출</t>
  </si>
  <si>
    <r>
      <rPr>
        <b val="true"/>
        <sz val="9"/>
        <rFont val="굴림체"/>
        <family val="3"/>
        <charset val="129"/>
      </rPr>
      <t xml:space="preserve">Ⅱ  . </t>
    </r>
    <r>
      <rPr>
        <b val="true"/>
        <sz val="9"/>
        <rFont val="Noto Sans CJK SC"/>
        <family val="2"/>
      </rPr>
      <t xml:space="preserve">매    출   원   가</t>
    </r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</si>
  <si>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</si>
  <si>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</si>
  <si>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</si>
  <si>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</si>
  <si>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</si>
  <si>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r>
      <rPr>
        <b val="true"/>
        <sz val="9"/>
        <rFont val="굴림체"/>
        <family val="3"/>
        <charset val="129"/>
      </rPr>
      <t xml:space="preserve">Ⅲ  . </t>
    </r>
    <r>
      <rPr>
        <b val="true"/>
        <sz val="9"/>
        <rFont val="Noto Sans CJK SC"/>
        <family val="2"/>
      </rPr>
      <t xml:space="preserve">매  출  총  이  익</t>
    </r>
  </si>
  <si>
    <r>
      <rPr>
        <b val="true"/>
        <sz val="9"/>
        <rFont val="굴림체"/>
        <family val="3"/>
        <charset val="129"/>
      </rPr>
      <t xml:space="preserve">Ⅳ  . </t>
    </r>
    <r>
      <rPr>
        <b val="true"/>
        <sz val="9"/>
        <rFont val="Noto Sans CJK SC"/>
        <family val="2"/>
      </rPr>
      <t xml:space="preserve">판  매  관  리  비</t>
    </r>
  </si>
  <si>
    <t xml:space="preserve"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</si>
  <si>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</si>
  <si>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</si>
  <si>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</si>
  <si>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</si>
  <si>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</si>
  <si>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</si>
  <si>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</si>
  <si>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</si>
  <si>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</si>
  <si>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</si>
  <si>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</si>
  <si>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</si>
  <si>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</si>
  <si>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</si>
  <si>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</si>
  <si>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</si>
  <si>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</si>
  <si>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</si>
  <si>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</si>
  <si>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</si>
  <si>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</si>
  <si>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r>
      <rPr>
        <b val="true"/>
        <sz val="9"/>
        <rFont val="굴림체"/>
        <family val="3"/>
        <charset val="129"/>
      </rPr>
      <t xml:space="preserve">Ⅴ  . </t>
    </r>
    <r>
      <rPr>
        <b val="true"/>
        <sz val="9"/>
        <rFont val="Noto Sans CJK SC"/>
        <family val="2"/>
      </rPr>
      <t xml:space="preserve">영    업   이   익</t>
    </r>
  </si>
  <si>
    <r>
      <rPr>
        <b val="true"/>
        <sz val="9"/>
        <rFont val="굴림체"/>
        <family val="3"/>
        <charset val="129"/>
      </rPr>
      <t xml:space="preserve">Ⅵ  . </t>
    </r>
    <r>
      <rPr>
        <b val="true"/>
        <sz val="9"/>
        <rFont val="Noto Sans CJK SC"/>
        <family val="2"/>
      </rPr>
      <t xml:space="preserve">영  업  외  수  익</t>
    </r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</si>
  <si>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</si>
  <si>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</si>
  <si>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</si>
  <si>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</si>
  <si>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</si>
  <si>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</si>
  <si>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</si>
  <si>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r>
      <rPr>
        <b val="true"/>
        <sz val="9"/>
        <rFont val="굴림체"/>
        <family val="3"/>
        <charset val="129"/>
      </rPr>
      <t xml:space="preserve">Ⅶ  . </t>
    </r>
    <r>
      <rPr>
        <b val="true"/>
        <sz val="9"/>
        <rFont val="Noto Sans CJK SC"/>
        <family val="2"/>
      </rPr>
      <t xml:space="preserve">영  업  외  비  용</t>
    </r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</si>
  <si>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</si>
  <si>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</si>
  <si>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</si>
  <si>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</si>
  <si>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</si>
  <si>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</si>
  <si>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</si>
  <si>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r>
      <rPr>
        <b val="true"/>
        <sz val="9"/>
        <rFont val="굴림체"/>
        <family val="3"/>
        <charset val="129"/>
      </rPr>
      <t xml:space="preserve">Ⅷ  . </t>
    </r>
    <r>
      <rPr>
        <b val="true"/>
        <sz val="9"/>
        <rFont val="Noto Sans CJK SC"/>
        <family val="2"/>
      </rPr>
      <t xml:space="preserve">법인세비용차감전순이익</t>
    </r>
  </si>
  <si>
    <r>
      <rPr>
        <b val="true"/>
        <sz val="9"/>
        <rFont val="굴림체"/>
        <family val="3"/>
        <charset val="129"/>
      </rPr>
      <t xml:space="preserve">Ⅸ  . </t>
    </r>
    <r>
      <rPr>
        <b val="true"/>
        <sz val="9"/>
        <rFont val="Noto Sans CJK SC"/>
        <family val="2"/>
      </rPr>
      <t xml:space="preserve">법  인  세  비  용</t>
    </r>
  </si>
  <si>
    <t xml:space="preserve">      법   인   세    등</t>
  </si>
  <si>
    <r>
      <rPr>
        <b val="true"/>
        <sz val="9"/>
        <rFont val="굴림체"/>
        <family val="3"/>
        <charset val="129"/>
      </rPr>
      <t xml:space="preserve">Ⅹ  . </t>
    </r>
    <r>
      <rPr>
        <b val="true"/>
        <sz val="9"/>
        <rFont val="Noto Sans CJK SC"/>
        <family val="2"/>
      </rPr>
      <t xml:space="preserve">당  기  순  이  익</t>
    </r>
  </si>
  <si>
    <t xml:space="preserve">계</t>
  </si>
  <si>
    <t xml:space="preserve">1월</t>
  </si>
  <si>
    <t xml:space="preserve">2월</t>
  </si>
  <si>
    <t xml:space="preserve">3월</t>
  </si>
  <si>
    <t xml:space="preserve">4월</t>
  </si>
  <si>
    <t xml:space="preserve">5월</t>
  </si>
  <si>
    <t xml:space="preserve">6월</t>
  </si>
  <si>
    <t xml:space="preserve">증감액                         (전월대비)</t>
  </si>
  <si>
    <t xml:space="preserve">증감                (전월대비)</t>
  </si>
  <si>
    <t xml:space="preserve">5월: 총36명, 6월: 총36명</t>
  </si>
  <si>
    <t xml:space="preserve">변동없음</t>
  </si>
  <si>
    <t xml:space="preserve">6월:상반기 퇴직연금 불입</t>
  </si>
  <si>
    <t xml:space="preserve">건강(요양)보험 회사부담금</t>
  </si>
  <si>
    <t xml:space="preserve">출장경비</t>
  </si>
  <si>
    <t xml:space="preserve">전지사 전화/인터넷요금, 개인별 휴대폰 지원금, 우편등기외</t>
  </si>
  <si>
    <t xml:space="preserve">전지사 수도광열비</t>
  </si>
  <si>
    <t xml:space="preserve">전지사 전기요금</t>
  </si>
  <si>
    <t xml:space="preserve">국민연금 회사부담금, 자동차세</t>
  </si>
  <si>
    <t xml:space="preserve">유형자산(건물, 차량, 기계장치, 비품) 감가상각</t>
  </si>
  <si>
    <t xml:space="preserve">구리본사:100만원, 강북:500만원, 강서:450만원, 영남:300만원</t>
  </si>
  <si>
    <t xml:space="preserve">고용/산재보험료, 차량보험료</t>
  </si>
  <si>
    <t xml:space="preserve">차량주유비, 수리비, 통행료, 주차비외 &lt;차량별 비용분석자료 참고&gt;</t>
  </si>
  <si>
    <t xml:space="preserve">본사전담택배, 퀵, 택배, 화물외 &lt;개인별 운송비 분석자료 참고&gt;</t>
  </si>
  <si>
    <t xml:space="preserve">수출포장료</t>
  </si>
  <si>
    <t xml:space="preserve">전지사 소모품비</t>
  </si>
  <si>
    <t xml:space="preserve">카드수수료, 차량렌트료(7대), 기타외</t>
  </si>
  <si>
    <t xml:space="preserve">대손금 충당액</t>
  </si>
  <si>
    <t xml:space="preserve">수출입통관</t>
  </si>
  <si>
    <t xml:space="preserve">단기금융상품 이자수익</t>
  </si>
  <si>
    <t xml:space="preserve">단기대여금이자(윤인희)</t>
  </si>
  <si>
    <r>
      <rPr>
        <sz val="9"/>
        <color rgb="FF333333"/>
        <rFont val="굴림체"/>
        <family val="3"/>
        <charset val="129"/>
      </rPr>
      <t xml:space="preserve"> Ⅰ. </t>
    </r>
    <r>
      <rPr>
        <sz val="9"/>
        <color rgb="FF333333"/>
        <rFont val="Noto Sans CJK SC"/>
        <family val="2"/>
      </rPr>
      <t xml:space="preserve">유  동    자  산  </t>
    </r>
  </si>
  <si>
    <t xml:space="preserve">17,095,747,352</t>
  </si>
  <si>
    <t xml:space="preserve">16,586,842,935</t>
  </si>
  <si>
    <t xml:space="preserve">14,096,422,869</t>
  </si>
  <si>
    <t xml:space="preserve">14,460,731,833</t>
  </si>
  <si>
    <t xml:space="preserve">3,619,901</t>
  </si>
  <si>
    <t xml:space="preserve">6,782,551</t>
  </si>
  <si>
    <t xml:space="preserve">1,709,285,136</t>
  </si>
  <si>
    <t xml:space="preserve">3,125,443,636</t>
  </si>
  <si>
    <t xml:space="preserve">6,800,000,000</t>
  </si>
  <si>
    <t xml:space="preserve">7,100,000,000</t>
  </si>
  <si>
    <t xml:space="preserve">588,242,162</t>
  </si>
  <si>
    <t xml:space="preserve">715,753,523</t>
  </si>
  <si>
    <t xml:space="preserve">3,937,766,693</t>
  </si>
  <si>
    <t xml:space="preserve">3,196,105,509</t>
  </si>
  <si>
    <t xml:space="preserve">156,987,179</t>
  </si>
  <si>
    <t xml:space="preserve">3,780,779,514</t>
  </si>
  <si>
    <t xml:space="preserve">3,039,118,330</t>
  </si>
  <si>
    <t xml:space="preserve">2,209,000</t>
  </si>
  <si>
    <t xml:space="preserve">17,134,890</t>
  </si>
  <si>
    <t xml:space="preserve">171,300</t>
  </si>
  <si>
    <t xml:space="preserve">2,037,700</t>
  </si>
  <si>
    <t xml:space="preserve">16,963,590</t>
  </si>
  <si>
    <t xml:space="preserve">15,136,465</t>
  </si>
  <si>
    <t xml:space="preserve">272,489,486</t>
  </si>
  <si>
    <t xml:space="preserve">398,047,074</t>
  </si>
  <si>
    <t xml:space="preserve">1,000,000</t>
  </si>
  <si>
    <t xml:space="preserve">1,240,000</t>
  </si>
  <si>
    <t xml:space="preserve">4,048,315</t>
  </si>
  <si>
    <t xml:space="preserve">9,711,144</t>
  </si>
  <si>
    <t xml:space="preserve">900,000,000</t>
  </si>
  <si>
    <t xml:space="preserve">19,784,190</t>
  </si>
  <si>
    <t xml:space="preserve">32,535,520</t>
  </si>
  <si>
    <t xml:space="preserve">2,999,324,483</t>
  </si>
  <si>
    <t xml:space="preserve">2,126,111,102</t>
  </si>
  <si>
    <r>
      <rPr>
        <sz val="9"/>
        <color rgb="FF333333"/>
        <rFont val="굴림체"/>
        <family val="3"/>
        <charset val="129"/>
      </rPr>
      <t xml:space="preserve"> Ⅱ. </t>
    </r>
    <r>
      <rPr>
        <sz val="9"/>
        <color rgb="FF333333"/>
        <rFont val="Noto Sans CJK SC"/>
        <family val="2"/>
      </rPr>
      <t xml:space="preserve">비  유  동  자  산  </t>
    </r>
  </si>
  <si>
    <t xml:space="preserve">4,071,135,848</t>
  </si>
  <si>
    <t xml:space="preserve">4,055,552,394</t>
  </si>
  <si>
    <t xml:space="preserve"> (1) 투  자    자  산  </t>
  </si>
  <si>
    <t xml:space="preserve">28,125,000</t>
  </si>
  <si>
    <t xml:space="preserve">3,374,314,988</t>
  </si>
  <si>
    <t xml:space="preserve">3,358,731,534</t>
  </si>
  <si>
    <t xml:space="preserve">2,542,043,170</t>
  </si>
  <si>
    <t xml:space="preserve">877,003,320</t>
  </si>
  <si>
    <t xml:space="preserve">253,820,356</t>
  </si>
  <si>
    <t xml:space="preserve">623,182,964</t>
  </si>
  <si>
    <t xml:space="preserve">242,857,808</t>
  </si>
  <si>
    <t xml:space="preserve">634,145,512</t>
  </si>
  <si>
    <t xml:space="preserve">47,784,000</t>
  </si>
  <si>
    <t xml:space="preserve">47,775,000</t>
  </si>
  <si>
    <t xml:space="preserve">9,000</t>
  </si>
  <si>
    <t xml:space="preserve">921,090,734</t>
  </si>
  <si>
    <t xml:space="preserve">899,846,520</t>
  </si>
  <si>
    <t xml:space="preserve">716,785,731</t>
  </si>
  <si>
    <t xml:space="preserve">204,305,003</t>
  </si>
  <si>
    <t xml:space="preserve">723,464,949</t>
  </si>
  <si>
    <t xml:space="preserve">176,381,571</t>
  </si>
  <si>
    <t xml:space="preserve">223,445,463</t>
  </si>
  <si>
    <t xml:space="preserve">218,670,612</t>
  </si>
  <si>
    <t xml:space="preserve">4,774,851</t>
  </si>
  <si>
    <t xml:space="preserve">217,293,182</t>
  </si>
  <si>
    <t xml:space="preserve">6,152,281</t>
  </si>
  <si>
    <t xml:space="preserve"> (3) 무  형    자  산 </t>
  </si>
  <si>
    <t xml:space="preserve"> (4) 기타  비유동자산  </t>
  </si>
  <si>
    <t xml:space="preserve">668,695,860</t>
  </si>
  <si>
    <t xml:space="preserve">140,000,000</t>
  </si>
  <si>
    <t xml:space="preserve">528,095,860</t>
  </si>
  <si>
    <t xml:space="preserve">600,000</t>
  </si>
  <si>
    <t xml:space="preserve">21,166,883,200</t>
  </si>
  <si>
    <t xml:space="preserve">20,642,395,329</t>
  </si>
  <si>
    <t xml:space="preserve"> Ⅰ. 유  동    부  채  </t>
  </si>
  <si>
    <t xml:space="preserve">2,594,056,539</t>
  </si>
  <si>
    <t xml:space="preserve">3,372,146,535</t>
  </si>
  <si>
    <t xml:space="preserve">2,161,776,540</t>
  </si>
  <si>
    <t xml:space="preserve">2,183,714,801</t>
  </si>
  <si>
    <t xml:space="preserve">149,723,065</t>
  </si>
  <si>
    <t xml:space="preserve">189,842,586</t>
  </si>
  <si>
    <t xml:space="preserve">26,545,630</t>
  </si>
  <si>
    <t xml:space="preserve">212,932,480</t>
  </si>
  <si>
    <t xml:space="preserve">40,319,192</t>
  </si>
  <si>
    <t xml:space="preserve">1,490,000</t>
  </si>
  <si>
    <t xml:space="preserve">152,398,250</t>
  </si>
  <si>
    <t xml:space="preserve">214,202,112</t>
  </si>
  <si>
    <t xml:space="preserve">631,768,418</t>
  </si>
  <si>
    <r>
      <rPr>
        <sz val="9"/>
        <color rgb="FF333333"/>
        <rFont val="굴림체"/>
        <family val="3"/>
        <charset val="129"/>
      </rPr>
      <t xml:space="preserve"> Ⅱ. </t>
    </r>
    <r>
      <rPr>
        <sz val="9"/>
        <color rgb="FF333333"/>
        <rFont val="Noto Sans CJK SC"/>
        <family val="2"/>
      </rPr>
      <t xml:space="preserve">비  유  동  부  채  </t>
    </r>
  </si>
  <si>
    <t xml:space="preserve">-65,700</t>
  </si>
  <si>
    <t xml:space="preserve">174,190,680</t>
  </si>
  <si>
    <t xml:space="preserve">174,256,380</t>
  </si>
  <si>
    <t xml:space="preserve">2,593,990,839</t>
  </si>
  <si>
    <t xml:space="preserve">3,546,337,215</t>
  </si>
  <si>
    <r>
      <rPr>
        <sz val="9"/>
        <color rgb="FF333333"/>
        <rFont val="굴림체"/>
        <family val="3"/>
        <charset val="129"/>
      </rPr>
      <t xml:space="preserve"> Ⅰ. </t>
    </r>
    <r>
      <rPr>
        <sz val="9"/>
        <color rgb="FF333333"/>
        <rFont val="Noto Sans CJK SC"/>
        <family val="2"/>
      </rPr>
      <t xml:space="preserve">자      본      금  </t>
    </r>
  </si>
  <si>
    <t xml:space="preserve">712,500,000</t>
  </si>
  <si>
    <t xml:space="preserve"> Ⅱ. 자  본  잉  여  금  </t>
  </si>
  <si>
    <t xml:space="preserve">3,051,482,755</t>
  </si>
  <si>
    <t xml:space="preserve"> Ⅲ. 자   본    조   정  </t>
  </si>
  <si>
    <t xml:space="preserve"> Ⅳ. 기타포괄손익누계액  </t>
  </si>
  <si>
    <r>
      <rPr>
        <sz val="9"/>
        <color rgb="FF333333"/>
        <rFont val="굴림체"/>
        <family val="3"/>
        <charset val="129"/>
      </rPr>
      <t xml:space="preserve"> Ⅴ. </t>
    </r>
    <r>
      <rPr>
        <sz val="9"/>
        <color rgb="FF333333"/>
        <rFont val="Noto Sans CJK SC"/>
        <family val="2"/>
      </rPr>
      <t xml:space="preserve">이  익  잉  여  금  </t>
    </r>
  </si>
  <si>
    <t xml:space="preserve">14,808,909,606</t>
  </si>
  <si>
    <t xml:space="preserve">13,332,075,359</t>
  </si>
  <si>
    <t xml:space="preserve">66,000,000</t>
  </si>
  <si>
    <t xml:space="preserve">46,000,000</t>
  </si>
  <si>
    <t xml:space="preserve">14,742,909,606</t>
  </si>
  <si>
    <t xml:space="preserve">13,286,075,359</t>
  </si>
  <si>
    <t xml:space="preserve">   ( 당 기 순 이 익 )</t>
  </si>
  <si>
    <r>
      <rPr>
        <sz val="9"/>
        <color rgb="FF333333"/>
        <rFont val="Noto Sans CJK SC"/>
        <family val="2"/>
      </rPr>
      <t xml:space="preserve">   당기 </t>
    </r>
    <r>
      <rPr>
        <sz val="9"/>
        <color rgb="FF333333"/>
        <rFont val="굴림체"/>
        <family val="3"/>
        <charset val="129"/>
      </rPr>
      <t xml:space="preserve">:     1,676,834,247</t>
    </r>
  </si>
  <si>
    <r>
      <rPr>
        <sz val="9"/>
        <color rgb="FF333333"/>
        <rFont val="Noto Sans CJK SC"/>
        <family val="2"/>
      </rPr>
      <t xml:space="preserve">   전기 </t>
    </r>
    <r>
      <rPr>
        <sz val="9"/>
        <color rgb="FF333333"/>
        <rFont val="굴림체"/>
        <family val="3"/>
        <charset val="129"/>
      </rPr>
      <t xml:space="preserve">:     1,412,482,819</t>
    </r>
  </si>
  <si>
    <t xml:space="preserve">18,572,892,361</t>
  </si>
  <si>
    <t xml:space="preserve">17,096,058,114</t>
  </si>
  <si>
    <r>
      <rPr>
        <sz val="9"/>
        <rFont val="굴림체"/>
        <family val="3"/>
        <charset val="129"/>
      </rPr>
      <t xml:space="preserve">1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</si>
  <si>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2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</si>
  <si>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3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</si>
  <si>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4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</si>
  <si>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5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</si>
  <si>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6</t>
    </r>
    <r>
      <rPr>
        <sz val="9"/>
        <rFont val="Noto Sans CJK SC"/>
        <family val="2"/>
      </rPr>
      <t xml:space="preserve">월</t>
    </r>
  </si>
  <si>
    <r>
      <rPr>
        <sz val="9"/>
        <color rgb="FF333333"/>
        <rFont val="굴림체"/>
        <family val="3"/>
        <charset val="129"/>
      </rPr>
      <t xml:space="preserve">Ⅰ  . </t>
    </r>
    <r>
      <rPr>
        <sz val="9"/>
        <color rgb="FF333333"/>
        <rFont val="Noto Sans CJK SC"/>
        <family val="2"/>
      </rPr>
      <t xml:space="preserve">매      출      액</t>
    </r>
  </si>
  <si>
    <r>
      <rPr>
        <sz val="9"/>
        <color rgb="FF333333"/>
        <rFont val="굴림체"/>
        <family val="3"/>
        <charset val="129"/>
      </rPr>
      <t xml:space="preserve">Ⅱ  . </t>
    </r>
    <r>
      <rPr>
        <sz val="9"/>
        <color rgb="FF333333"/>
        <rFont val="Noto Sans CJK SC"/>
        <family val="2"/>
      </rPr>
      <t xml:space="preserve">매    출   원   가</t>
    </r>
  </si>
  <si>
    <r>
      <rPr>
        <sz val="9"/>
        <color rgb="FF333333"/>
        <rFont val="굴림체"/>
        <family val="3"/>
        <charset val="129"/>
      </rPr>
      <t xml:space="preserve">Ⅲ  . </t>
    </r>
    <r>
      <rPr>
        <sz val="9"/>
        <color rgb="FF333333"/>
        <rFont val="Noto Sans CJK SC"/>
        <family val="2"/>
      </rPr>
      <t xml:space="preserve">매  출  총  이  익</t>
    </r>
  </si>
  <si>
    <r>
      <rPr>
        <sz val="9"/>
        <color rgb="FF333333"/>
        <rFont val="굴림체"/>
        <family val="3"/>
        <charset val="129"/>
      </rPr>
      <t xml:space="preserve">Ⅳ  . </t>
    </r>
    <r>
      <rPr>
        <sz val="9"/>
        <color rgb="FF333333"/>
        <rFont val="Noto Sans CJK SC"/>
        <family val="2"/>
      </rPr>
      <t xml:space="preserve">판  매  관  리  비</t>
    </r>
  </si>
  <si>
    <t xml:space="preserve">Ⅴ  . 영    업   이   익</t>
  </si>
  <si>
    <r>
      <rPr>
        <sz val="9"/>
        <color rgb="FF333333"/>
        <rFont val="굴림체"/>
        <family val="3"/>
        <charset val="129"/>
      </rPr>
      <t xml:space="preserve">Ⅵ  . </t>
    </r>
    <r>
      <rPr>
        <sz val="9"/>
        <color rgb="FF333333"/>
        <rFont val="Noto Sans CJK SC"/>
        <family val="2"/>
      </rPr>
      <t xml:space="preserve">영  업  외  수  익</t>
    </r>
  </si>
  <si>
    <t xml:space="preserve">      유형자산 처분 이익</t>
  </si>
  <si>
    <t xml:space="preserve">Ⅶ  . 영  업  외  비  용</t>
  </si>
  <si>
    <t xml:space="preserve">Ⅷ  . 법인세비용차감전순이익</t>
  </si>
  <si>
    <r>
      <rPr>
        <sz val="9"/>
        <color rgb="FF333333"/>
        <rFont val="굴림체"/>
        <family val="3"/>
        <charset val="129"/>
      </rPr>
      <t xml:space="preserve">Ⅸ  . </t>
    </r>
    <r>
      <rPr>
        <sz val="9"/>
        <color rgb="FF333333"/>
        <rFont val="Noto Sans CJK SC"/>
        <family val="2"/>
      </rPr>
      <t xml:space="preserve">법  인  세  비  용</t>
    </r>
  </si>
  <si>
    <r>
      <rPr>
        <sz val="9"/>
        <color rgb="FF333333"/>
        <rFont val="굴림체"/>
        <family val="3"/>
        <charset val="129"/>
      </rPr>
      <t xml:space="preserve">Ⅹ  . </t>
    </r>
    <r>
      <rPr>
        <sz val="9"/>
        <color rgb="FF333333"/>
        <rFont val="Noto Sans CJK SC"/>
        <family val="2"/>
      </rPr>
      <t xml:space="preserve">당  기  순  이  익</t>
    </r>
  </si>
  <si>
    <r>
      <rPr>
        <sz val="9"/>
        <rFont val="굴림체"/>
        <family val="3"/>
        <charset val="129"/>
      </rPr>
      <t xml:space="preserve">7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</si>
  <si>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8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</si>
  <si>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9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</si>
  <si>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10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</si>
  <si>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11</t>
    </r>
    <r>
      <rPr>
        <sz val="9"/>
        <rFont val="Noto Sans CJK SC"/>
        <family val="2"/>
      </rPr>
      <t xml:space="preserve">월</t>
    </r>
  </si>
  <si>
    <r>
      <rPr>
        <sz val="9"/>
        <rFont val="굴림체"/>
        <family val="3"/>
        <charset val="129"/>
      </rPr>
      <t xml:space="preserve">12</t>
    </r>
    <r>
      <rPr>
        <sz val="9"/>
        <rFont val="Noto Sans CJK SC"/>
        <family val="2"/>
      </rPr>
      <t xml:space="preserve">월</t>
    </r>
  </si>
  <si>
    <r>
      <rPr>
        <sz val="9"/>
        <color rgb="FF333333"/>
        <rFont val="굴림체"/>
        <family val="3"/>
        <charset val="129"/>
      </rPr>
      <t xml:space="preserve">Ⅴ  . </t>
    </r>
    <r>
      <rPr>
        <sz val="9"/>
        <color rgb="FF333333"/>
        <rFont val="Noto Sans CJK SC"/>
        <family val="2"/>
      </rPr>
      <t xml:space="preserve">영    업   이   익</t>
    </r>
  </si>
  <si>
    <r>
      <rPr>
        <sz val="9"/>
        <color rgb="FF333333"/>
        <rFont val="굴림체"/>
        <family val="3"/>
        <charset val="129"/>
      </rPr>
      <t xml:space="preserve">Ⅶ  . </t>
    </r>
    <r>
      <rPr>
        <sz val="9"/>
        <color rgb="FF333333"/>
        <rFont val="Noto Sans CJK SC"/>
        <family val="2"/>
      </rPr>
      <t xml:space="preserve">영  업  외  비  용</t>
    </r>
  </si>
  <si>
    <r>
      <rPr>
        <sz val="9"/>
        <color rgb="FF333333"/>
        <rFont val="굴림체"/>
        <family val="3"/>
        <charset val="129"/>
      </rPr>
      <t xml:space="preserve">Ⅷ  . </t>
    </r>
    <r>
      <rPr>
        <sz val="9"/>
        <color rgb="FF333333"/>
        <rFont val="Noto Sans CJK SC"/>
        <family val="2"/>
      </rPr>
      <t xml:space="preserve">법인세비용차감전순이익</t>
    </r>
  </si>
  <si>
    <t xml:space="preserve">Ⅸ  . 법  인  세  비  용</t>
  </si>
  <si>
    <t xml:space="preserve">Ⅹ  . 당  기  순  이  익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</si>
</sst>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#,##0,;\(#,##0,\);\-"/>
    <numFmt numFmtId="167" formatCode="\+0.0%;\-0.0%;0.0%"/>
    <numFmt numFmtId="168" formatCode="#,##0,"/>
    <numFmt numFmtId="169" formatCode="@"/>
    <numFmt numFmtId="170" formatCode="#,##0_);[RED]\(#,##0\)"/>
    <numFmt numFmtId="171" formatCode="General"/>
    <numFmt numFmtId="172" formatCode="#,##0"/>
    <numFmt numFmtId="173" formatCode="###,##0"/>
    <numFmt numFmtId="174" formatCode="0.00%"/>
    <numFmt numFmtId="175" formatCode="0.0%"/>
  </numFmts>
  <fonts count="52">
    <font>
      <sz val="9"/>
      <color rgb="FF000000"/>
      <name val="굴림체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굴림체"/>
      <family val="3"/>
      <charset val="129"/>
    </font>
    <font>
      <b val="true"/>
      <sz val="11"/>
      <name val="Noto Sans CJK SC"/>
      <family val="0"/>
      <charset val="1"/>
    </font>
    <font>
      <sz val="12"/>
      <color rgb="FF0000FF"/>
      <name val="Noto Sans CJK SC"/>
      <family val="0"/>
      <charset val="1"/>
    </font>
    <font>
      <i val="true"/>
      <sz val="9"/>
      <color rgb="FF808080"/>
      <name val="Noto Sans CJK SC"/>
      <family val="0"/>
      <charset val="1"/>
    </font>
    <font>
      <b val="true"/>
      <sz val="14"/>
      <color rgb="FFFFFFFF"/>
      <name val="굴림체"/>
      <family val="3"/>
      <charset val="129"/>
    </font>
    <font>
      <b val="true"/>
      <sz val="12"/>
      <color rgb="FF1F4E78"/>
      <name val="굴림체"/>
      <family val="3"/>
      <charset val="129"/>
    </font>
    <font>
      <b val="true"/>
      <sz val="12"/>
      <color rgb="FF1F4E78"/>
      <name val="Noto Sans CJK SC"/>
      <family val="0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family val="0"/>
      <charset val="1"/>
    </font>
    <font>
      <sz val="9"/>
      <color rgb="FF000000"/>
      <name val="Noto Sans CJK SC"/>
      <family val="2"/>
    </font>
    <font>
      <b val="true"/>
      <sz val="11"/>
      <name val="Noto Sans CJK SC"/>
      <family val="2"/>
    </font>
    <font>
      <b val="true"/>
      <sz val="16"/>
      <color rgb="FFFFFFFF"/>
      <name val="Noto Sans CJK SC"/>
      <family val="0"/>
      <charset val="1"/>
    </font>
    <font>
      <sz val="10"/>
      <color rgb="FF595959"/>
      <name val="Noto Sans CJK SC"/>
      <family val="0"/>
      <charset val="1"/>
    </font>
    <font>
      <b val="true"/>
      <sz val="11"/>
      <color rgb="FF1F4E78"/>
      <name val="Noto Sans CJK SC"/>
      <family val="0"/>
      <charset val="1"/>
    </font>
    <font>
      <b val="true"/>
      <sz val="11"/>
      <color rgb="FFFFFFFF"/>
      <name val="Noto Sans CJK SC"/>
      <family val="3"/>
      <charset val="129"/>
    </font>
    <font>
      <b val="true"/>
      <sz val="11"/>
      <color rgb="FFFFFFFF"/>
      <name val="Noto Sans CJK SC"/>
      <family val="0"/>
      <charset val="1"/>
    </font>
    <font>
      <b val="true"/>
      <sz val="11"/>
      <color rgb="FF1F4E78"/>
      <name val="Noto Sans CJK SC"/>
      <family val="3"/>
      <charset val="129"/>
    </font>
    <font>
      <sz val="11"/>
      <color rgb="FF595959"/>
      <name val="Noto Sans CJK SC"/>
      <family val="0"/>
      <charset val="1"/>
    </font>
    <font>
      <i val="true"/>
      <sz val="11"/>
      <color rgb="FF595959"/>
      <name val="Noto Sans CJK SC"/>
      <family val="0"/>
      <charset val="1"/>
    </font>
    <font>
      <b val="true"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 val="true"/>
      <sz val="18"/>
      <color rgb="FF000000"/>
      <name val="DejaVu Sans"/>
      <family val="2"/>
    </font>
    <font>
      <b val="true"/>
      <sz val="18"/>
      <color rgb="FF000000"/>
      <name val="Arial"/>
      <family val="2"/>
    </font>
    <font>
      <sz val="10"/>
      <color rgb="FF000000"/>
      <name val="Arial"/>
      <family val="2"/>
    </font>
    <font>
      <b val="true"/>
      <sz val="10"/>
      <color rgb="FF000000"/>
      <name val="DejaVu Sans"/>
      <family val="2"/>
    </font>
    <font>
      <b val="true"/>
      <sz val="10"/>
      <color rgb="FF000000"/>
      <name val="Arial"/>
      <family val="2"/>
    </font>
    <font>
      <b val="true"/>
      <sz val="13"/>
      <color rgb="FFFFFFFF"/>
      <name val="Noto Sans CJK SC"/>
      <family val="0"/>
      <charset val="1"/>
    </font>
    <font>
      <b val="true"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 val="true"/>
      <sz val="9"/>
      <name val="Noto Sans CJK SC"/>
      <family val="0"/>
      <charset val="1"/>
    </font>
    <font>
      <b val="true"/>
      <sz val="9"/>
      <color rgb="FF1F4E78"/>
      <name val="Noto Sans CJK SC"/>
      <family val="0"/>
      <charset val="1"/>
    </font>
    <font>
      <sz val="9"/>
      <color rgb="FF000000"/>
      <name val="Noto Sans CJK SC"/>
      <family val="2"/>
      <charset val="1"/>
    </font>
    <font>
      <b val="true"/>
      <sz val="10"/>
      <name val="Noto Sans CJK SC"/>
      <family val="0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 val="true"/>
      <sz val="9"/>
      <name val="굴림체"/>
      <family val="3"/>
      <charset val="129"/>
    </font>
    <font>
      <b val="true"/>
      <sz val="9"/>
      <name val="Noto Sans CJK SC"/>
      <family val="2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10"/>
      <name val="Arial"/>
      <family val="2"/>
    </font>
    <font>
      <sz val="10"/>
      <name val="Noto Sans CJK SC"/>
      <family val="2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 val="true"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name val="Noto Sans CJK SC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1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>
        <color rgb="FFBFBFBF"/>
      </right>
      <top style="thin">
        <color rgb="FFBFBFBF"/>
      </top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 diagonalUp="false" diagonalDown="false">
      <left style="thin">
        <color rgb="FFBFBFBF"/>
      </left>
      <right style="thin"/>
      <top style="thin">
        <color rgb="FFBFBFBF"/>
      </top>
      <bottom style="thin"/>
      <diagonal/>
    </border>
    <border diagonalUp="false" diagonalDown="false">
      <left style="thin"/>
      <right style="thin"/>
      <top style="thin"/>
      <bottom style="thin">
        <color rgb="FFBFBFBF"/>
      </bottom>
      <diagonal/>
    </border>
    <border diagonalUp="false" diagonalDown="false">
      <left style="thin"/>
      <right style="thin">
        <color rgb="FFBFBFBF"/>
      </right>
      <top style="thin"/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>
        <color rgb="FFBFBFBF"/>
      </bottom>
      <diagonal/>
    </border>
    <border diagonalUp="false" diagonalDown="false">
      <left style="thin"/>
      <right style="thin"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>
        <color rgb="FFBFBFBF"/>
      </top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>
        <color rgb="FFBFBFBF"/>
      </right>
      <top style="thin"/>
      <bottom style="thin"/>
      <diagonal/>
    </border>
    <border diagonalUp="false" diagonalDown="false">
      <left style="thin">
        <color rgb="FFBFBFBF"/>
      </left>
      <right style="thin"/>
      <top style="thin"/>
      <bottom style="thin"/>
      <diagonal/>
    </border>
    <border diagonalUp="false" diagonalDown="false">
      <left/>
      <right style="thin">
        <color rgb="FFBFBFBF"/>
      </right>
      <top style="thin"/>
      <bottom style="thin"/>
      <diagonal/>
    </border>
    <border diagonalUp="false" diagonalDown="false">
      <left style="thin"/>
      <right/>
      <top style="thin"/>
      <bottom style="thin">
        <color rgb="FFBFBFBF"/>
      </bottom>
      <diagonal/>
    </border>
    <border diagonalUp="false" diagonalDown="false">
      <left/>
      <right style="thin">
        <color rgb="FFBFBFBF"/>
      </right>
      <top style="thin"/>
      <bottom style="thin">
        <color rgb="FFBFBFBF"/>
      </bottom>
      <diagonal/>
    </border>
    <border diagonalUp="false" diagonalDown="false">
      <left style="thin"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/>
      <top style="thin">
        <color rgb="FFBFBFBF"/>
      </top>
      <bottom style="thin"/>
      <diagonal/>
    </border>
    <border diagonalUp="false" diagonalDown="false">
      <left/>
      <right style="thin">
        <color rgb="FFBFBFBF"/>
      </right>
      <top style="thin">
        <color rgb="FFBFBFBF"/>
      </top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>
        <color rgb="FFBFBFBF"/>
      </right>
      <top/>
      <bottom style="thin"/>
      <diagonal/>
    </border>
    <border diagonalUp="false" diagonalDown="false">
      <left style="thin">
        <color rgb="FFBFBFBF"/>
      </left>
      <right style="thin"/>
      <top/>
      <bottom style="thin"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2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7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7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3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3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3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39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9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39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4" fontId="3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4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3" fontId="3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38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3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0" fillId="1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0" fillId="1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2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7" fillId="1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9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39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표준 2" xfId="20"/>
  </cellStyles>
  <dxfs count="5">
    <dxf>
      <font>
        <color rgb="FF0000FF"/>
      </font>
    </dxf>
    <dxf>
      <font>
        <color rgb="FFFF0000"/>
      </font>
    </dxf>
    <dxf>
      <fill>
        <patternFill>
          <bgColor rgb="FFFFF2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1" sz="1800" spc="-1" strike="noStrike">
                <a:solidFill>
                  <a:srgbClr val="000000"/>
                </a:solidFill>
                <a:latin typeface="Arial"/>
                <a:ea typeface="DejaVu Sans"/>
              </a:rPr>
              <a:t>월별 매출액 · 영업이익 추이 (천원)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6"/>
                <c:pt idx="0">
                  <c:v>2259822004</c:v>
                </c:pt>
                <c:pt idx="1">
                  <c:v>2611620075</c:v>
                </c:pt>
                <c:pt idx="2">
                  <c:v>3088311293</c:v>
                </c:pt>
                <c:pt idx="3">
                  <c:v>3252016356</c:v>
                </c:pt>
                <c:pt idx="4">
                  <c:v>2900947613</c:v>
                </c:pt>
                <c:pt idx="5">
                  <c:v>2811952670</c:v>
                </c:pt>
              </c:numCache>
            </c:numRef>
          </c:val>
        </c:ser>
        <c:gapWidth val="40"/>
        <c:overlap val="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solidFill>
              <a:srgbClr val="ed7d31"/>
            </a:solidFill>
            <a:ln w="28080">
              <a:solidFill>
                <a:srgbClr val="ed7d31"/>
              </a:solidFill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val val="0"/>
            <c:spPr>
              <a:ln w="0">
                <a:solidFill>
                  <a:srgbClr val="000000"/>
                </a:solidFill>
              </a:ln>
            </c:spPr>
          </c:errBars>
          <c:cat>
            <c:strRef>
              <c:f>요약!$A$29:$A$40</c:f>
              <c:strCache>
                <c:ptCount val="6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6"/>
                <c:pt idx="0">
                  <c:v>40741916</c:v>
                </c:pt>
                <c:pt idx="1">
                  <c:v>148649732</c:v>
                </c:pt>
                <c:pt idx="2">
                  <c:v>222735445</c:v>
                </c:pt>
                <c:pt idx="3">
                  <c:v>265599223</c:v>
                </c:pt>
                <c:pt idx="4">
                  <c:v>224446491</c:v>
                </c:pt>
                <c:pt idx="5">
                  <c:v>205048571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매출액(천원)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5049326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영업이익(천원)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426157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>
      <xdr:nvGraphicFramePr>
        <xdr:cNvPr id="0" name="Chart 1"/>
        <xdr:cNvGraphicFramePr/>
      </xdr:nvGraphicFramePr>
      <xdr:xfrm>
        <a:off x="57240" y="7891200"/>
        <a:ext cx="8068680" cy="3308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true"/>
  </sheetPr>
  <dimension ref="A1:M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30.8359375" defaultRowHeight="11.25" zeroHeight="false" outlineLevelRow="0" outlineLevelCol="0"/>
  <cols>
    <col collapsed="false" customWidth="true" hidden="false" outlineLevel="0" max="1" min="1" style="0" width="12.33"/>
    <col collapsed="false" customWidth="true" hidden="false" outlineLevel="0" max="8" min="2" style="0" width="14"/>
    <col collapsed="false" customWidth="true" hidden="false" outlineLevel="0" max="9" min="9" style="0" width="17.33"/>
    <col collapsed="false" customWidth="true" hidden="false" outlineLevel="0" max="11" min="10" style="0" width="18.5"/>
  </cols>
  <sheetData>
    <row r="1" customFormat="false" ht="36" hidden="false" customHeight="true" outlineLevel="0" collapsed="false">
      <c r="A1" s="1" t="str">
        <f aca="false">TEXT($K$1,"yyyy")&amp;"년 1월~"&amp;MONTH($K$1)&amp;"월 월차 결산서 [ ㈜ 창현 ]"</f>
        <v>2026년 1월~6월 월차 결산서 [ ㈜ 창현 ]</v>
      </c>
      <c r="B1" s="1"/>
      <c r="C1" s="1"/>
      <c r="D1" s="1"/>
      <c r="E1" s="1"/>
      <c r="F1" s="1"/>
      <c r="G1" s="1"/>
      <c r="H1" s="1"/>
      <c r="J1" s="2" t="s">
        <v>0</v>
      </c>
      <c r="K1" s="3" t="n">
        <v>46203</v>
      </c>
      <c r="L1" s="4" t="s">
        <v>1</v>
      </c>
      <c r="M1" s="5"/>
    </row>
    <row r="2" customFormat="false" ht="5.25" hidden="false" customHeight="true" outlineLevel="0" collapsed="false">
      <c r="K2" s="6" t="n">
        <v>46239</v>
      </c>
    </row>
    <row r="3" customFormat="false" ht="18.7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</row>
    <row r="4" customFormat="false" ht="34.5" hidden="false" customHeight="true" outlineLevel="0" collapsed="false">
      <c r="A4" s="0" t="s">
        <v>3</v>
      </c>
    </row>
    <row r="5" customFormat="false" ht="40.5" hidden="false" customHeight="true" outlineLevel="0" collapsed="false">
      <c r="A5" s="8" t="s">
        <v>4</v>
      </c>
      <c r="B5" s="9" t="s">
        <v>5</v>
      </c>
      <c r="C5" s="9"/>
      <c r="D5" s="9"/>
      <c r="E5" s="9"/>
      <c r="F5" s="9"/>
      <c r="G5" s="9"/>
      <c r="H5" s="9"/>
    </row>
    <row r="6" customFormat="false" ht="43.5" hidden="false" customHeight="true" outlineLevel="0" collapsed="false">
      <c r="A6" s="10" t="n">
        <v>1</v>
      </c>
      <c r="B6" s="11" t="s">
        <v>6</v>
      </c>
      <c r="C6" s="11"/>
      <c r="D6" s="11"/>
      <c r="E6" s="11"/>
      <c r="F6" s="11"/>
      <c r="G6" s="11"/>
      <c r="H6" s="11"/>
    </row>
    <row r="7" customFormat="false" ht="43.5" hidden="false" customHeight="true" outlineLevel="0" collapsed="false">
      <c r="A7" s="12" t="n">
        <v>2</v>
      </c>
      <c r="B7" s="13" t="str">
        <f aca="false">"재무상태표 ["&amp;TEXT($K$1,"yyyy")&amp;"년"&amp;TEXT(MONTH($K$1),"00")&amp;"월"&amp;TEXT(DAY($K$1),"00")&amp;"일"&amp;" 현재]"</f>
        <v>재무상태표 [2026년06월30일 현재]</v>
      </c>
      <c r="C7" s="13"/>
      <c r="D7" s="13"/>
      <c r="E7" s="13"/>
      <c r="F7" s="13"/>
      <c r="G7" s="13"/>
      <c r="H7" s="13"/>
    </row>
    <row r="8" customFormat="false" ht="43.5" hidden="false" customHeight="true" outlineLevel="0" collapsed="false">
      <c r="A8" s="10" t="n">
        <v>3</v>
      </c>
      <c r="B8" s="11" t="str">
        <f aca="false"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2026년06월30일 까지]</v>
      </c>
      <c r="C8" s="11"/>
      <c r="D8" s="11"/>
      <c r="E8" s="11"/>
      <c r="F8" s="11"/>
      <c r="G8" s="11"/>
      <c r="H8" s="11"/>
    </row>
    <row r="9" customFormat="false" ht="43.5" hidden="false" customHeight="true" outlineLevel="0" collapsed="false">
      <c r="A9" s="12" t="n">
        <v>4</v>
      </c>
      <c r="B9" s="13" t="str">
        <f aca="false"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[2026년05월01일 부터 2026년06월30일 까지]</v>
      </c>
      <c r="C9" s="13"/>
      <c r="D9" s="13"/>
      <c r="E9" s="13"/>
      <c r="F9" s="13"/>
      <c r="G9" s="13"/>
      <c r="H9" s="13"/>
    </row>
    <row r="10" customFormat="false" ht="43.5" hidden="false" customHeight="true" outlineLevel="0" collapsed="false">
      <c r="A10" s="10" t="n">
        <v>5</v>
      </c>
      <c r="B10" s="14" t="str">
        <f aca="false"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2026년06월30일 까지]</v>
      </c>
      <c r="C10" s="14"/>
      <c r="D10" s="14"/>
      <c r="E10" s="14"/>
      <c r="F10" s="14"/>
      <c r="G10" s="14"/>
      <c r="H10" s="14"/>
    </row>
    <row r="11" customFormat="false" ht="43.5" hidden="false" customHeight="true" outlineLevel="0" collapsed="false">
      <c r="A11" s="12" t="n">
        <v>6</v>
      </c>
      <c r="B11" s="15" t="str">
        <f aca="false">TEXT($K$1,"yyyy")&amp;"년 차량별 비용현황[연간누계/월별/당월상세]"</f>
        <v>2026년 차량별 비용현황[연간누계/월별/당월상세]</v>
      </c>
      <c r="C11" s="15"/>
      <c r="D11" s="15"/>
      <c r="E11" s="15"/>
      <c r="F11" s="15"/>
      <c r="G11" s="15"/>
      <c r="H11" s="15"/>
    </row>
    <row r="12" customFormat="false" ht="43.5" hidden="false" customHeight="true" outlineLevel="0" collapsed="false">
      <c r="A12" s="10" t="n">
        <v>7</v>
      </c>
      <c r="B12" s="14" t="str">
        <f aca="false">TEXT($K$1,"yyyy")&amp;"년 운송비 개인별 비용"</f>
        <v>2026년 운송비 개인별 비용</v>
      </c>
      <c r="C12" s="14"/>
      <c r="D12" s="14"/>
      <c r="E12" s="14"/>
      <c r="F12" s="14"/>
      <c r="G12" s="14"/>
      <c r="H12" s="14"/>
    </row>
    <row r="13" customFormat="false" ht="18" hidden="false" customHeight="true" outlineLevel="0" collapsed="false"/>
    <row r="14" customFormat="false" ht="18" hidden="false" customHeight="true" outlineLevel="0" collapsed="false"/>
    <row r="15" customFormat="false" ht="9.75" hidden="false" customHeight="true" outlineLevel="0" collapsed="false">
      <c r="D15" s="16" t="s">
        <v>7</v>
      </c>
    </row>
    <row r="16" customFormat="false" ht="27.75" hidden="false" customHeight="true" outlineLevel="0" collapsed="false">
      <c r="D16" s="16"/>
      <c r="E16" s="17" t="s">
        <v>8</v>
      </c>
      <c r="F16" s="17" t="s">
        <v>9</v>
      </c>
      <c r="G16" s="17" t="s">
        <v>10</v>
      </c>
      <c r="H16" s="17" t="s">
        <v>11</v>
      </c>
    </row>
    <row r="17" customFormat="false" ht="15" hidden="false" customHeight="true" outlineLevel="0" collapsed="false">
      <c r="D17" s="16"/>
      <c r="E17" s="18"/>
      <c r="F17" s="18"/>
      <c r="G17" s="18"/>
      <c r="H17" s="18"/>
    </row>
    <row r="18" customFormat="false" ht="15" hidden="false" customHeight="true" outlineLevel="0" collapsed="false">
      <c r="D18" s="16"/>
      <c r="E18" s="18"/>
      <c r="F18" s="18"/>
      <c r="G18" s="18"/>
      <c r="H18" s="18"/>
    </row>
    <row r="19" customFormat="false" ht="15" hidden="false" customHeight="true" outlineLevel="0" collapsed="false">
      <c r="D19" s="19"/>
      <c r="E19" s="19"/>
      <c r="F19" s="19"/>
      <c r="G19" s="19"/>
      <c r="H19" s="19"/>
    </row>
  </sheetData>
  <mergeCells count="15">
    <mergeCell ref="A1:H1"/>
    <mergeCell ref="A3:H3"/>
    <mergeCell ref="B5:H5"/>
    <mergeCell ref="B6:H6"/>
    <mergeCell ref="B7:H7"/>
    <mergeCell ref="B8:H8"/>
    <mergeCell ref="B9:H9"/>
    <mergeCell ref="B10:H10"/>
    <mergeCell ref="B11:H11"/>
    <mergeCell ref="B12:H12"/>
    <mergeCell ref="D15:D18"/>
    <mergeCell ref="E17:E18"/>
    <mergeCell ref="F17:F18"/>
    <mergeCell ref="G17:G18"/>
    <mergeCell ref="H17:H18"/>
  </mergeCells>
  <printOptions headings="false" gridLines="false" gridLinesSet="true" horizontalCentered="true" verticalCentered="false"/>
  <pageMargins left="0.708333333333333" right="0.708333333333333" top="1.92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H69"/>
  <sheetViews>
    <sheetView showFormulas="false" showGridLines="fals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F30" activeCellId="0" sqref="F30"/>
    </sheetView>
  </sheetViews>
  <sheetFormatPr defaultColWidth="8.66796875" defaultRowHeight="11.25" zeroHeight="false" outlineLevelRow="0" outlineLevelCol="0"/>
  <cols>
    <col collapsed="false" customWidth="true" hidden="false" outlineLevel="0" max="1" min="1" style="0" width="31.17"/>
    <col collapsed="false" customWidth="true" hidden="false" outlineLevel="0" max="3" min="2" style="0" width="21.33"/>
    <col collapsed="false" customWidth="true" hidden="false" outlineLevel="0" max="4" min="4" style="0" width="16.83"/>
    <col collapsed="false" customWidth="true" hidden="false" outlineLevel="0" max="5" min="5" style="0" width="11.33"/>
    <col collapsed="false" customWidth="true" hidden="false" outlineLevel="0" max="6" min="6" style="0" width="21.33"/>
    <col collapsed="false" customWidth="true" hidden="false" outlineLevel="0" max="7" min="7" style="0" width="16.83"/>
    <col collapsed="false" customWidth="true" hidden="false" outlineLevel="0" max="8" min="8" style="0" width="11.33"/>
  </cols>
  <sheetData>
    <row r="1" customFormat="false" ht="27.75" hidden="false" customHeight="true" outlineLevel="0" collapsed="false">
      <c r="A1" s="20" t="s">
        <v>12</v>
      </c>
      <c r="B1" s="20"/>
      <c r="C1" s="20"/>
      <c r="D1" s="20"/>
      <c r="E1" s="20"/>
      <c r="F1" s="20"/>
      <c r="G1" s="20"/>
      <c r="H1" s="20"/>
    </row>
    <row r="2" customFormat="false" ht="22.5" hidden="false" customHeight="true" outlineLevel="0" collapsed="false">
      <c r="A2" s="21" t="str">
        <f aca="false">TEXT(인덱스!$K$1,"yyyy")&amp;"년 1월 ~ "&amp;MONTH(인덱스!$K$1)&amp;"월 누적 기준 ( 기준일 : "&amp;TEXT(인덱스!$K$1,"yyyy")&amp;"년"&amp;TEXT(MONTH(인덱스!$K$1),"00")&amp;"월"&amp;TEXT(DAY(인덱스!$K$1),"00")&amp;"일 )"</f>
        <v>2026년 1월 ~ 6월 누적 기준 ( 기준일 : 2026년06월30일 )</v>
      </c>
      <c r="B2" s="21"/>
      <c r="C2" s="21"/>
      <c r="D2" s="21"/>
      <c r="E2" s="21"/>
      <c r="F2" s="21"/>
      <c r="G2" s="21"/>
      <c r="H2" s="21"/>
    </row>
    <row r="3" customFormat="false" ht="18.75" hidden="false" customHeight="true" outlineLevel="0" collapsed="false"/>
    <row r="4" customFormat="false" ht="15" hidden="false" customHeight="true" outlineLevel="0" collapsed="false">
      <c r="A4" s="22" t="s">
        <v>13</v>
      </c>
    </row>
    <row r="5" customFormat="false" ht="16.5" hidden="false" customHeight="true" outlineLevel="0" collapsed="false">
      <c r="A5" s="23" t="s">
        <v>5</v>
      </c>
      <c r="B5" s="24" t="s">
        <v>14</v>
      </c>
      <c r="C5" s="24"/>
      <c r="D5" s="24"/>
      <c r="E5" s="24"/>
      <c r="F5" s="25" t="s">
        <v>15</v>
      </c>
      <c r="G5" s="25"/>
      <c r="H5" s="25"/>
    </row>
    <row r="6" customFormat="false" ht="18" hidden="false" customHeight="true" outlineLevel="0" collapsed="false">
      <c r="A6" s="23"/>
      <c r="B6" s="26" t="s">
        <v>16</v>
      </c>
      <c r="C6" s="27" t="s">
        <v>17</v>
      </c>
      <c r="D6" s="28" t="s">
        <v>18</v>
      </c>
      <c r="E6" s="29" t="s">
        <v>19</v>
      </c>
      <c r="F6" s="30" t="s">
        <v>20</v>
      </c>
      <c r="G6" s="28" t="s">
        <v>18</v>
      </c>
      <c r="H6" s="29" t="s">
        <v>19</v>
      </c>
    </row>
    <row r="7" customFormat="false" ht="16.5" hidden="false" customHeight="true" outlineLevel="0" collapsed="false">
      <c r="A7" s="31" t="s">
        <v>21</v>
      </c>
      <c r="B7" s="32" t="n">
        <f aca="false">'매출액대비 비율분석'!C9</f>
        <v>19213322580</v>
      </c>
      <c r="C7" s="33" t="n">
        <f aca="false">IFERROR(INDEX('기간별손익계산서(전년동기)'!$B:$B,MATCH(SUBSTITUTE("Ⅰ  . 매      출      액"," ","")&amp;"|1",'기간별손익계산서(전년동기)'!$P:$P,0)),0)</f>
        <v>16924670011</v>
      </c>
      <c r="D7" s="33" t="n">
        <f aca="false">B7-C7</f>
        <v>2288652569</v>
      </c>
      <c r="E7" s="34" t="n">
        <f aca="false">IFERROR(IF(C7=0,"",(B7-C7)/ABS(C7)),"")</f>
        <v>0.135225831139545</v>
      </c>
      <c r="F7" s="32" t="n">
        <f aca="false">'매출액대비 비율분석'!F9</f>
        <v>35759715334</v>
      </c>
      <c r="G7" s="33" t="n">
        <f aca="false">B7-F7</f>
        <v>-16546392754</v>
      </c>
      <c r="H7" s="34" t="n">
        <f aca="false">IFERROR(IF(F7=0,"",(B7-F7)/ABS(F7)),"")</f>
        <v>-0.462710415881523</v>
      </c>
    </row>
    <row r="8" customFormat="false" ht="16.5" hidden="false" customHeight="true" outlineLevel="0" collapsed="false">
      <c r="A8" s="35" t="s">
        <v>22</v>
      </c>
      <c r="B8" s="36" t="n">
        <f aca="false">'매출액대비 비율분석'!C12</f>
        <v>15801558966</v>
      </c>
      <c r="C8" s="37" t="n">
        <f aca="false">IFERROR(INDEX('기간별손익계산서(전년동기)'!$B:$B,MATCH(SUBSTITUTE("Ⅱ  . 매    출   원   가"," ","")&amp;"|1",'기간별손익계산서(전년동기)'!$P:$P,0)),0)</f>
        <v>14142558811</v>
      </c>
      <c r="D8" s="37" t="n">
        <f aca="false">B8-C8</f>
        <v>1659000155</v>
      </c>
      <c r="E8" s="38" t="n">
        <f aca="false">IFERROR(IF(C8=0,"",(B8-C8)/ABS(C8)),"")</f>
        <v>0.117305515725318</v>
      </c>
      <c r="F8" s="36" t="n">
        <f aca="false">'매출액대비 비율분석'!F12</f>
        <v>29846027632</v>
      </c>
      <c r="G8" s="37" t="n">
        <f aca="false">B8-F8</f>
        <v>-14044468666</v>
      </c>
      <c r="H8" s="38" t="n">
        <f aca="false">IFERROR(IF(F8=0,"",(B8-F8)/ABS(F8)),"")</f>
        <v>-0.470564084412424</v>
      </c>
    </row>
    <row r="9" customFormat="false" ht="16.5" hidden="false" customHeight="true" outlineLevel="0" collapsed="false">
      <c r="A9" s="39" t="s">
        <v>23</v>
      </c>
      <c r="B9" s="40" t="n">
        <f aca="false">'매출액대비 비율분석'!C18</f>
        <v>3411763614</v>
      </c>
      <c r="C9" s="41" t="n">
        <f aca="false">IFERROR(INDEX('기간별손익계산서(전년동기)'!$B:$B,MATCH(SUBSTITUTE("Ⅲ  . 매  출  총  이  익"," ","")&amp;"|1",'기간별손익계산서(전년동기)'!$P:$P,0)),0)</f>
        <v>2782111200</v>
      </c>
      <c r="D9" s="41" t="n">
        <f aca="false">B9-C9</f>
        <v>629652414</v>
      </c>
      <c r="E9" s="42" t="n">
        <f aca="false">IFERROR(IF(C9=0,"",(B9-C9)/ABS(C9)),"")</f>
        <v>0.22632179979003</v>
      </c>
      <c r="F9" s="40" t="n">
        <f aca="false">'매출액대비 비율분석'!F18</f>
        <v>5913687702</v>
      </c>
      <c r="G9" s="41" t="n">
        <f aca="false">B9-F9</f>
        <v>-2501924088</v>
      </c>
      <c r="H9" s="42" t="n">
        <f aca="false">IFERROR(IF(F9=0,"",(B9-F9)/ABS(F9)),"")</f>
        <v>-0.423073421201098</v>
      </c>
    </row>
    <row r="10" customFormat="false" ht="16.5" hidden="false" customHeight="true" outlineLevel="0" collapsed="false">
      <c r="A10" s="35" t="s">
        <v>24</v>
      </c>
      <c r="B10" s="36" t="n">
        <f aca="false">'매출액대비 비율분석'!C19</f>
        <v>1870617248</v>
      </c>
      <c r="C10" s="37" t="n">
        <f aca="false">IFERROR(INDEX('기간별손익계산서(전년동기)'!$B:$B,MATCH(SUBSTITUTE("Ⅳ  . 판  매  관  리  비"," ","")&amp;"|1",'기간별손익계산서(전년동기)'!$P:$P,0)),0)</f>
        <v>1674889822</v>
      </c>
      <c r="D10" s="37" t="n">
        <f aca="false">B10-C10</f>
        <v>195727426</v>
      </c>
      <c r="E10" s="38" t="n">
        <f aca="false">IFERROR(IF(C10=0,"",(B10-C10)/ABS(C10)),"")</f>
        <v>0.116859881425681</v>
      </c>
      <c r="F10" s="36" t="n">
        <f aca="false">'매출액대비 비율분석'!F19</f>
        <v>4291191892</v>
      </c>
      <c r="G10" s="37" t="n">
        <f aca="false">B10-F10</f>
        <v>-2420574644</v>
      </c>
      <c r="H10" s="38" t="n">
        <f aca="false">IFERROR(IF(F10=0,"",(B10-F10)/ABS(F10)),"")</f>
        <v>-0.564079795292454</v>
      </c>
    </row>
    <row r="11" customFormat="false" ht="16.5" hidden="false" customHeight="true" outlineLevel="0" collapsed="false">
      <c r="A11" s="39" t="s">
        <v>25</v>
      </c>
      <c r="B11" s="40" t="n">
        <f aca="false">'매출액대비 비율분석'!C41</f>
        <v>1541146366</v>
      </c>
      <c r="C11" s="41" t="n">
        <f aca="false">IFERROR(INDEX('기간별손익계산서(전년동기)'!$B:$B,MATCH(SUBSTITUTE("Ⅴ  . 영    업   이   익"," ","")&amp;"|1",'기간별손익계산서(전년동기)'!$P:$P,0)),0)</f>
        <v>1107221378</v>
      </c>
      <c r="D11" s="41" t="n">
        <f aca="false">B11-C11</f>
        <v>433924988</v>
      </c>
      <c r="E11" s="42" t="n">
        <f aca="false">IFERROR(IF(C11=0,"",(B11-C11)/ABS(C11)),"")</f>
        <v>0.391904452552938</v>
      </c>
      <c r="F11" s="40" t="n">
        <f aca="false">'매출액대비 비율분석'!F41</f>
        <v>1622495810</v>
      </c>
      <c r="G11" s="41" t="n">
        <f aca="false">B11-F11</f>
        <v>-81349444</v>
      </c>
      <c r="H11" s="42" t="n">
        <f aca="false">IFERROR(IF(F11=0,"",(B11-F11)/ABS(F11)),"")</f>
        <v>-0.0501384616826838</v>
      </c>
    </row>
    <row r="12" customFormat="false" ht="16.5" hidden="false" customHeight="true" outlineLevel="0" collapsed="false">
      <c r="A12" s="35" t="s">
        <v>26</v>
      </c>
      <c r="B12" s="36" t="n">
        <f aca="false">'매출액대비 비율분석'!C42</f>
        <v>137001356</v>
      </c>
      <c r="C12" s="37" t="n">
        <f aca="false">IFERROR(INDEX('기간별손익계산서(전년동기)'!$B:$B,MATCH(SUBSTITUTE("Ⅵ  . 영  업  외  수  익"," ","")&amp;"|1",'기간별손익계산서(전년동기)'!$P:$P,0)),0)</f>
        <v>69774121</v>
      </c>
      <c r="D12" s="37" t="n">
        <f aca="false">B12-C12</f>
        <v>67227235</v>
      </c>
      <c r="E12" s="38" t="n">
        <f aca="false">IFERROR(IF(C12=0,"",(B12-C12)/ABS(C12)),"")</f>
        <v>0.963498128482335</v>
      </c>
      <c r="F12" s="36" t="n">
        <f aca="false">'매출액대비 비율분석'!F42</f>
        <v>213061525</v>
      </c>
      <c r="G12" s="37" t="n">
        <f aca="false">B12-F12</f>
        <v>-76060169</v>
      </c>
      <c r="H12" s="38" t="n">
        <f aca="false">IFERROR(IF(F12=0,"",(B12-F12)/ABS(F12)),"")</f>
        <v>-0.356986879728754</v>
      </c>
    </row>
    <row r="13" customFormat="false" ht="16.5" hidden="false" customHeight="true" outlineLevel="0" collapsed="false">
      <c r="A13" s="35" t="s">
        <v>27</v>
      </c>
      <c r="B13" s="36" t="n">
        <f aca="false">'매출액대비 비율분석'!C50</f>
        <v>1313475</v>
      </c>
      <c r="C13" s="37" t="n">
        <f aca="false">IFERROR(INDEX('기간별손익계산서(전년동기)'!$B:$B,MATCH(SUBSTITUTE("Ⅶ  . 영  업  외  비  용"," ","")&amp;"|1",'기간별손익계산서(전년동기)'!$P:$P,0)),0)</f>
        <v>32848988</v>
      </c>
      <c r="D13" s="37" t="n">
        <f aca="false">B13-C13</f>
        <v>-31535513</v>
      </c>
      <c r="E13" s="38" t="n">
        <f aca="false">IFERROR(IF(C13=0,"",(B13-C13)/ABS(C13)),"")</f>
        <v>-0.960014749921672</v>
      </c>
      <c r="F13" s="36" t="n">
        <f aca="false">'매출액대비 비율분석'!F50</f>
        <v>14528746</v>
      </c>
      <c r="G13" s="37" t="n">
        <f aca="false">B13-F13</f>
        <v>-13215271</v>
      </c>
      <c r="H13" s="38" t="n">
        <f aca="false">IFERROR(IF(F13=0,"",(B13-F13)/ABS(F13)),"")</f>
        <v>-0.909594744102485</v>
      </c>
    </row>
    <row r="14" customFormat="false" ht="16.5" hidden="false" customHeight="true" outlineLevel="0" collapsed="false">
      <c r="A14" s="39" t="s">
        <v>28</v>
      </c>
      <c r="B14" s="40" t="n">
        <f aca="false">'매출액대비 비율분석'!C58</f>
        <v>1676834247</v>
      </c>
      <c r="C14" s="41" t="n">
        <f aca="false">IFERROR(INDEX('기간별손익계산서(전년동기)'!$B:$B,MATCH(SUBSTITUTE("Ⅷ  . 법인세비용차감전순이익"," ","")&amp;"|1",'기간별손익계산서(전년동기)'!$P:$P,0)),0)</f>
        <v>1144146511</v>
      </c>
      <c r="D14" s="41" t="n">
        <f aca="false">B14-C14</f>
        <v>532687736</v>
      </c>
      <c r="E14" s="42" t="n">
        <f aca="false">IFERROR(IF(C14=0,"",(B14-C14)/ABS(C14)),"")</f>
        <v>0.465576506923421</v>
      </c>
      <c r="F14" s="40" t="n">
        <f aca="false">'매출액대비 비율분석'!F58</f>
        <v>1821028589</v>
      </c>
      <c r="G14" s="41" t="n">
        <f aca="false">B14-F14</f>
        <v>-144194342</v>
      </c>
      <c r="H14" s="42" t="n">
        <f aca="false">IFERROR(IF(F14=0,"",(B14-F14)/ABS(F14)),"")</f>
        <v>-0.0791829095221305</v>
      </c>
    </row>
    <row r="15" customFormat="false" ht="16.5" hidden="false" customHeight="true" outlineLevel="0" collapsed="false">
      <c r="A15" s="35" t="s">
        <v>29</v>
      </c>
      <c r="B15" s="36" t="n">
        <f aca="false">'매출액대비 비율분석'!C59</f>
        <v>0</v>
      </c>
      <c r="C15" s="37" t="n">
        <f aca="false">IFERROR(INDEX('기간별손익계산서(전년동기)'!$B:$B,MATCH(SUBSTITUTE("Ⅸ  . 법  인  세  비  용"," ","")&amp;"|1",'기간별손익계산서(전년동기)'!$P:$P,0)),0)</f>
        <v>0</v>
      </c>
      <c r="D15" s="37" t="n">
        <f aca="false">B15-C15</f>
        <v>0</v>
      </c>
      <c r="E15" s="38" t="str">
        <f aca="false">IFERROR(IF(C15=0,"",(B15-C15)/ABS(C15)),"")</f>
        <v/>
      </c>
      <c r="F15" s="36" t="n">
        <f aca="false">'매출액대비 비율분석'!F59</f>
        <v>408545770</v>
      </c>
      <c r="G15" s="37" t="n">
        <f aca="false">B15-F15</f>
        <v>-408545770</v>
      </c>
      <c r="H15" s="38" t="n">
        <f aca="false">IFERROR(IF(F15=0,"",(B15-F15)/ABS(F15)),"")</f>
        <v>-1</v>
      </c>
    </row>
    <row r="16" customFormat="false" ht="16.5" hidden="false" customHeight="true" outlineLevel="0" collapsed="false">
      <c r="A16" s="39" t="s">
        <v>30</v>
      </c>
      <c r="B16" s="40" t="n">
        <f aca="false">'매출액대비 비율분석'!C61</f>
        <v>1676834247</v>
      </c>
      <c r="C16" s="41" t="n">
        <f aca="false">IFERROR(INDEX('기간별손익계산서(전년동기)'!$B:$B,MATCH(SUBSTITUTE("Ⅹ  . 당  기  순  이  익"," ","")&amp;"|1",'기간별손익계산서(전년동기)'!$P:$P,0)),0)</f>
        <v>1144146511</v>
      </c>
      <c r="D16" s="41" t="n">
        <f aca="false">B16-C16</f>
        <v>532687736</v>
      </c>
      <c r="E16" s="42" t="n">
        <f aca="false">IFERROR(IF(C16=0,"",(B16-C16)/ABS(C16)),"")</f>
        <v>0.465576506923421</v>
      </c>
      <c r="F16" s="40" t="n">
        <f aca="false">'매출액대비 비율분석'!F61</f>
        <v>1412482819</v>
      </c>
      <c r="G16" s="41" t="n">
        <f aca="false">B16-F16</f>
        <v>264351428</v>
      </c>
      <c r="H16" s="42" t="n">
        <f aca="false">IFERROR(IF(F16=0,"",(B16-F16)/ABS(F16)),"")</f>
        <v>0.187153729903174</v>
      </c>
    </row>
    <row r="17" customFormat="false" ht="16.5" hidden="false" customHeight="true" outlineLevel="0" collapsed="false">
      <c r="A17" s="43" t="s">
        <v>31</v>
      </c>
      <c r="B17" s="44" t="n">
        <f aca="false">IFERROR(B11/B7,"")</f>
        <v>0.0802123817774364</v>
      </c>
      <c r="C17" s="45" t="n">
        <f aca="false">IFERROR(C11/C7,"")</f>
        <v>0.0654205592948267</v>
      </c>
      <c r="D17" s="46"/>
      <c r="E17" s="47"/>
      <c r="F17" s="44" t="n">
        <f aca="false">IFERROR(F11/F7,"")</f>
        <v>0.045372167950603</v>
      </c>
      <c r="G17" s="46"/>
      <c r="H17" s="47"/>
    </row>
    <row r="18" customFormat="false" ht="16.5" hidden="false" customHeight="true" outlineLevel="0" collapsed="false">
      <c r="A18" s="48" t="s">
        <v>32</v>
      </c>
      <c r="B18" s="49" t="n">
        <f aca="false">IFERROR(B16/B7,"")</f>
        <v>0.0872745585787172</v>
      </c>
      <c r="C18" s="50" t="n">
        <f aca="false">IFERROR(C16/C7,"")</f>
        <v>0.0676022935901483</v>
      </c>
      <c r="D18" s="51"/>
      <c r="E18" s="52"/>
      <c r="F18" s="49" t="n">
        <f aca="false">IFERROR(F16/F7,"")</f>
        <v>0.039499274695205</v>
      </c>
      <c r="G18" s="51"/>
      <c r="H18" s="52"/>
    </row>
    <row r="20" customFormat="false" ht="15" hidden="false" customHeight="true" outlineLevel="0" collapsed="false">
      <c r="A20" s="22" t="s">
        <v>33</v>
      </c>
    </row>
    <row r="21" customFormat="false" ht="30" hidden="false" customHeight="true" outlineLevel="0" collapsed="false">
      <c r="A21" s="53" t="s">
        <v>5</v>
      </c>
      <c r="B21" s="54" t="s">
        <v>34</v>
      </c>
      <c r="C21" s="55" t="s">
        <v>35</v>
      </c>
      <c r="D21" s="56" t="s">
        <v>18</v>
      </c>
      <c r="E21" s="55" t="s">
        <v>19</v>
      </c>
    </row>
    <row r="22" customFormat="false" ht="16.5" hidden="false" customHeight="true" outlineLevel="0" collapsed="false">
      <c r="A22" s="57" t="s">
        <v>36</v>
      </c>
      <c r="B22" s="32" t="n">
        <f aca="false">('재무상태표(내역)'!C50)+0</f>
        <v>21166883200</v>
      </c>
      <c r="C22" s="58" t="n">
        <f aca="false">('재무상태표(내역)'!F50)+0</f>
        <v>20642395329</v>
      </c>
      <c r="D22" s="59" t="n">
        <f aca="false">B22-C22</f>
        <v>524487871</v>
      </c>
      <c r="E22" s="34" t="n">
        <f aca="false">IFERROR(IF(C22=0,"",(B22-C22)/ABS(C22)),"")</f>
        <v>0.0254082853583935</v>
      </c>
    </row>
    <row r="23" customFormat="false" ht="16.5" hidden="false" customHeight="true" outlineLevel="0" collapsed="false">
      <c r="A23" s="60" t="s">
        <v>37</v>
      </c>
      <c r="B23" s="40" t="n">
        <f aca="false">('재무상태표(내역)'!C65)+0</f>
        <v>2593990839</v>
      </c>
      <c r="C23" s="61" t="n">
        <f aca="false">('재무상태표(내역)'!F65)+0</f>
        <v>3546337215</v>
      </c>
      <c r="D23" s="62" t="n">
        <f aca="false">B23-C23</f>
        <v>-952346376</v>
      </c>
      <c r="E23" s="42" t="n">
        <f aca="false">IFERROR(IF(C23=0,"",(B23-C23)/ABS(C23)),"")</f>
        <v>-0.26854366019448</v>
      </c>
    </row>
    <row r="24" customFormat="false" ht="16.5" hidden="false" customHeight="true" outlineLevel="0" collapsed="false">
      <c r="A24" s="60" t="s">
        <v>38</v>
      </c>
      <c r="B24" s="40" t="n">
        <f aca="false">('재무상태표(내역)'!C79)+0</f>
        <v>18572892361</v>
      </c>
      <c r="C24" s="61" t="n">
        <f aca="false">('재무상태표(내역)'!F79)+0</f>
        <v>17096058114</v>
      </c>
      <c r="D24" s="62" t="n">
        <f aca="false">B24-C24</f>
        <v>1476834247</v>
      </c>
      <c r="E24" s="42" t="n">
        <f aca="false">IFERROR(IF(C24=0,"",(B24-C24)/ABS(C24)),"")</f>
        <v>0.0863844891700864</v>
      </c>
    </row>
    <row r="25" customFormat="false" ht="16.5" hidden="false" customHeight="true" outlineLevel="0" collapsed="false">
      <c r="A25" s="63" t="s">
        <v>39</v>
      </c>
      <c r="B25" s="49" t="n">
        <f aca="false">IFERROR(B23/B24,"")</f>
        <v>0.139665421442217</v>
      </c>
      <c r="C25" s="64" t="n">
        <f aca="false">IFERROR(C23/C24,"")</f>
        <v>0.207435959292622</v>
      </c>
      <c r="D25" s="65"/>
      <c r="E25" s="52"/>
    </row>
    <row r="27" customFormat="false" ht="18.75" hidden="false" customHeight="true" outlineLevel="0" collapsed="false">
      <c r="A27" s="22" t="s">
        <v>40</v>
      </c>
    </row>
    <row r="28" customFormat="false" ht="30" hidden="false" customHeight="true" outlineLevel="0" collapsed="false">
      <c r="A28" s="23" t="s">
        <v>41</v>
      </c>
      <c r="B28" s="56" t="s">
        <v>21</v>
      </c>
      <c r="C28" s="55" t="s">
        <v>25</v>
      </c>
    </row>
    <row r="29" customFormat="false" ht="15" hidden="false" customHeight="true" outlineLevel="0" collapsed="false">
      <c r="A29" s="66" t="str">
        <f aca="false">IFERROR(MONTH(DATE(YEAR(인덱스!$K$1),1,1))&amp;"월","")</f>
        <v>1월</v>
      </c>
      <c r="B29" s="67" t="n">
        <f aca="false">IF(1&lt;=MONTH(인덱스!$K$1),INDEX(기간별손익계산서!$C:$N,2,1),"")</f>
        <v>2259822004</v>
      </c>
      <c r="C29" s="68" t="n">
        <f aca="false">IF(1&lt;=MONTH(인덱스!$K$1),INDEX(기간별손익계산서!$C:$N,30,1),"")</f>
        <v>40741916</v>
      </c>
    </row>
    <row r="30" customFormat="false" ht="15" hidden="false" customHeight="true" outlineLevel="0" collapsed="false">
      <c r="A30" s="69" t="str">
        <f aca="false">IFERROR(MONTH(DATE(YEAR(인덱스!$K$1),2,1))&amp;"월","")</f>
        <v>2월</v>
      </c>
      <c r="B30" s="36" t="n">
        <f aca="false">IF(2&lt;=MONTH(인덱스!$K$1),INDEX(기간별손익계산서!$C:$N,2,2),"")</f>
        <v>2611620075</v>
      </c>
      <c r="C30" s="70" t="n">
        <f aca="false">IF(2&lt;=MONTH(인덱스!$K$1),INDEX(기간별손익계산서!$C:$N,30,2),"")</f>
        <v>148649732</v>
      </c>
    </row>
    <row r="31" customFormat="false" ht="15" hidden="false" customHeight="true" outlineLevel="0" collapsed="false">
      <c r="A31" s="69" t="str">
        <f aca="false">IFERROR(MONTH(DATE(YEAR(인덱스!$K$1),3,1))&amp;"월","")</f>
        <v>3월</v>
      </c>
      <c r="B31" s="36" t="n">
        <f aca="false">IF(3&lt;=MONTH(인덱스!$K$1),INDEX(기간별손익계산서!$C:$N,2,3),"")</f>
        <v>3088311293</v>
      </c>
      <c r="C31" s="70" t="n">
        <f aca="false">IF(3&lt;=MONTH(인덱스!$K$1),INDEX(기간별손익계산서!$C:$N,30,3),"")</f>
        <v>222735445</v>
      </c>
    </row>
    <row r="32" customFormat="false" ht="15" hidden="false" customHeight="true" outlineLevel="0" collapsed="false">
      <c r="A32" s="69" t="str">
        <f aca="false">IFERROR(MONTH(DATE(YEAR(인덱스!$K$1),4,1))&amp;"월","")</f>
        <v>4월</v>
      </c>
      <c r="B32" s="36" t="n">
        <f aca="false">IF(4&lt;=MONTH(인덱스!$K$1),INDEX(기간별손익계산서!$C:$N,2,4),"")</f>
        <v>3252016356</v>
      </c>
      <c r="C32" s="70" t="n">
        <f aca="false">IF(4&lt;=MONTH(인덱스!$K$1),INDEX(기간별손익계산서!$C:$N,30,4),"")</f>
        <v>265599223</v>
      </c>
    </row>
    <row r="33" customFormat="false" ht="15" hidden="false" customHeight="true" outlineLevel="0" collapsed="false">
      <c r="A33" s="69" t="str">
        <f aca="false">IFERROR(MONTH(DATE(YEAR(인덱스!$K$1),5,1))&amp;"월","")</f>
        <v>5월</v>
      </c>
      <c r="B33" s="36" t="n">
        <f aca="false">IF(5&lt;=MONTH(인덱스!$K$1),INDEX(기간별손익계산서!$C:$N,2,5),"")</f>
        <v>2900947613</v>
      </c>
      <c r="C33" s="70" t="n">
        <f aca="false">IF(5&lt;=MONTH(인덱스!$K$1),INDEX(기간별손익계산서!$C:$N,30,5),"")</f>
        <v>224446491</v>
      </c>
    </row>
    <row r="34" customFormat="false" ht="15" hidden="false" customHeight="true" outlineLevel="0" collapsed="false">
      <c r="A34" s="69" t="str">
        <f aca="false">IFERROR(MONTH(DATE(YEAR(인덱스!$K$1),6,1))&amp;"월","")</f>
        <v>6월</v>
      </c>
      <c r="B34" s="36" t="n">
        <f aca="false">IF(6&lt;=MONTH(인덱스!$K$1),INDEX(기간별손익계산서!$C:$N,2,6),"")</f>
        <v>2811952670</v>
      </c>
      <c r="C34" s="70" t="n">
        <f aca="false">IF(6&lt;=MONTH(인덱스!$K$1),INDEX(기간별손익계산서!$C:$N,30,6),"")</f>
        <v>205048571</v>
      </c>
    </row>
    <row r="35" customFormat="false" ht="15" hidden="true" customHeight="true" outlineLevel="0" collapsed="false">
      <c r="A35" s="69" t="str">
        <f aca="false">IFERROR(MONTH(DATE(YEAR(인덱스!$K$1),7,1))&amp;"월","")</f>
        <v>7월</v>
      </c>
      <c r="B35" s="36" t="str">
        <f aca="false">IF(7&lt;=MONTH(인덱스!$K$1),INDEX(기간별손익계산서!$C:$N,2,7),"")</f>
        <v/>
      </c>
      <c r="C35" s="70" t="str">
        <f aca="false">IF(7&lt;=MONTH(인덱스!$K$1),INDEX(기간별손익계산서!$C:$N,30,7),"")</f>
        <v/>
      </c>
    </row>
    <row r="36" customFormat="false" ht="15" hidden="true" customHeight="true" outlineLevel="0" collapsed="false">
      <c r="A36" s="69" t="str">
        <f aca="false">IFERROR(MONTH(DATE(YEAR(인덱스!$K$1),8,1))&amp;"월","")</f>
        <v>8월</v>
      </c>
      <c r="B36" s="36" t="str">
        <f aca="false">IF(8&lt;=MONTH(인덱스!$K$1),INDEX(기간별손익계산서!$C:$N,2,8),"")</f>
        <v/>
      </c>
      <c r="C36" s="70" t="str">
        <f aca="false">IF(8&lt;=MONTH(인덱스!$K$1),INDEX(기간별손익계산서!$C:$N,30,8),"")</f>
        <v/>
      </c>
    </row>
    <row r="37" customFormat="false" ht="15" hidden="true" customHeight="true" outlineLevel="0" collapsed="false">
      <c r="A37" s="69" t="str">
        <f aca="false">IFERROR(MONTH(DATE(YEAR(인덱스!$K$1),9,1))&amp;"월","")</f>
        <v>9월</v>
      </c>
      <c r="B37" s="36" t="str">
        <f aca="false">IF(9&lt;=MONTH(인덱스!$K$1),INDEX(기간별손익계산서!$C:$N,2,9),"")</f>
        <v/>
      </c>
      <c r="C37" s="70" t="str">
        <f aca="false">IF(9&lt;=MONTH(인덱스!$K$1),INDEX(기간별손익계산서!$C:$N,30,9),"")</f>
        <v/>
      </c>
    </row>
    <row r="38" customFormat="false" ht="15" hidden="true" customHeight="true" outlineLevel="0" collapsed="false">
      <c r="A38" s="69" t="str">
        <f aca="false">IFERROR(MONTH(DATE(YEAR(인덱스!$K$1),10,1))&amp;"월","")</f>
        <v>10월</v>
      </c>
      <c r="B38" s="36" t="str">
        <f aca="false">IF(10&lt;=MONTH(인덱스!$K$1),INDEX(기간별손익계산서!$C:$N,2,10),"")</f>
        <v/>
      </c>
      <c r="C38" s="70" t="str">
        <f aca="false">IF(10&lt;=MONTH(인덱스!$K$1),INDEX(기간별손익계산서!$C:$N,30,10),"")</f>
        <v/>
      </c>
    </row>
    <row r="39" customFormat="false" ht="15" hidden="true" customHeight="true" outlineLevel="0" collapsed="false">
      <c r="A39" s="69" t="str">
        <f aca="false">IFERROR(MONTH(DATE(YEAR(인덱스!$K$1),11,1))&amp;"월","")</f>
        <v>11월</v>
      </c>
      <c r="B39" s="36" t="str">
        <f aca="false">IF(11&lt;=MONTH(인덱스!$K$1),INDEX(기간별손익계산서!$C:$N,2,11),"")</f>
        <v/>
      </c>
      <c r="C39" s="70" t="str">
        <f aca="false">IF(11&lt;=MONTH(인덱스!$K$1),INDEX(기간별손익계산서!$C:$N,30,11),"")</f>
        <v/>
      </c>
    </row>
    <row r="40" customFormat="false" ht="15" hidden="true" customHeight="true" outlineLevel="0" collapsed="false">
      <c r="A40" s="69" t="str">
        <f aca="false">IFERROR(MONTH(DATE(YEAR(인덱스!$K$1),12,1))&amp;"월","")</f>
        <v>12월</v>
      </c>
      <c r="B40" s="36" t="str">
        <f aca="false">IF(12&lt;=MONTH(인덱스!$K$1),INDEX(기간별손익계산서!$C:$N,2,12),"")</f>
        <v/>
      </c>
      <c r="C40" s="70" t="str">
        <f aca="false">IF(12&lt;=MONTH(인덱스!$K$1),INDEX(기간별손익계산서!$C:$N,30,12),"")</f>
        <v/>
      </c>
    </row>
    <row r="41" customFormat="false" ht="16.5" hidden="false" customHeight="true" outlineLevel="0" collapsed="false">
      <c r="A41" s="71" t="s">
        <v>42</v>
      </c>
      <c r="B41" s="72" t="n">
        <f aca="false">SUM(B29:B40)</f>
        <v>16924670011</v>
      </c>
      <c r="C41" s="73" t="n">
        <f aca="false">SUM(C29:C40)</f>
        <v>1107221378</v>
      </c>
    </row>
    <row r="42" customFormat="false" ht="11.45" hidden="false" customHeight="false" outlineLevel="0" collapsed="false"/>
    <row r="43" customFormat="false" ht="11.45" hidden="false" customHeight="false" outlineLevel="0" collapsed="false"/>
    <row r="44" customFormat="false" ht="11.45" hidden="false" customHeight="false" outlineLevel="0" collapsed="false"/>
    <row r="45" customFormat="false" ht="11.45" hidden="false" customHeight="false" outlineLevel="0" collapsed="false"/>
    <row r="46" customFormat="false" ht="11.45" hidden="false" customHeight="false" outlineLevel="0" collapsed="false"/>
    <row r="47" customFormat="false" ht="11.45" hidden="false" customHeight="false" outlineLevel="0" collapsed="false"/>
    <row r="48" customFormat="false" ht="11.45" hidden="false" customHeight="false" outlineLevel="0" collapsed="false"/>
    <row r="49" customFormat="false" ht="11.45" hidden="false" customHeight="false" outlineLevel="0" collapsed="false"/>
    <row r="50" customFormat="false" ht="11.45" hidden="false" customHeight="false" outlineLevel="0" collapsed="false"/>
    <row r="51" customFormat="false" ht="11.45" hidden="false" customHeight="false" outlineLevel="0" collapsed="false"/>
    <row r="52" customFormat="false" ht="11.45" hidden="false" customHeight="false" outlineLevel="0" collapsed="false"/>
    <row r="53" customFormat="false" ht="11.45" hidden="false" customHeight="false" outlineLevel="0" collapsed="false"/>
    <row r="54" customFormat="false" ht="11.45" hidden="false" customHeight="false" outlineLevel="0" collapsed="false"/>
    <row r="55" customFormat="false" ht="11.45" hidden="false" customHeight="false" outlineLevel="0" collapsed="false"/>
    <row r="56" customFormat="false" ht="11.45" hidden="false" customHeight="false" outlineLevel="0" collapsed="false"/>
    <row r="57" customFormat="false" ht="11.45" hidden="false" customHeight="false" outlineLevel="0" collapsed="false"/>
    <row r="58" customFormat="false" ht="11.45" hidden="false" customHeight="false" outlineLevel="0" collapsed="false"/>
    <row r="59" customFormat="false" ht="11.45" hidden="false" customHeight="false" outlineLevel="0" collapsed="false"/>
    <row r="60" customFormat="false" ht="11.45" hidden="false" customHeight="false" outlineLevel="0" collapsed="false"/>
    <row r="61" customFormat="false" ht="11.45" hidden="false" customHeight="false" outlineLevel="0" collapsed="false"/>
    <row r="62" customFormat="false" ht="11.45" hidden="false" customHeight="false" outlineLevel="0" collapsed="false"/>
    <row r="63" customFormat="false" ht="11.45" hidden="false" customHeight="false" outlineLevel="0" collapsed="false"/>
    <row r="64" customFormat="false" ht="11.45" hidden="false" customHeight="false" outlineLevel="0" collapsed="false"/>
    <row r="65" customFormat="false" ht="11.45" hidden="false" customHeight="false" outlineLevel="0" collapsed="false"/>
    <row r="66" customFormat="false" ht="11.45" hidden="false" customHeight="false" outlineLevel="0" collapsed="false"/>
    <row r="67" customFormat="false" ht="3.75" hidden="false" customHeight="true" outlineLevel="0" collapsed="false"/>
    <row r="68" customFormat="false" ht="27.75" hidden="false" customHeight="true" outlineLevel="0" collapsed="false"/>
    <row r="69" customFormat="false" ht="60" hidden="false" customHeight="true" outlineLevel="0" collapsed="false">
      <c r="A69" s="74" t="s">
        <v>43</v>
      </c>
      <c r="B69" s="74"/>
      <c r="C69" s="74"/>
      <c r="D69" s="74"/>
      <c r="E69" s="74"/>
      <c r="F69" s="74"/>
      <c r="G69" s="74"/>
      <c r="H69" s="74"/>
    </row>
  </sheetData>
  <mergeCells count="6">
    <mergeCell ref="A1:H1"/>
    <mergeCell ref="A2:H2"/>
    <mergeCell ref="A5:A6"/>
    <mergeCell ref="B5:E5"/>
    <mergeCell ref="F5:H5"/>
    <mergeCell ref="A69:H69"/>
  </mergeCells>
  <conditionalFormatting sqref="E7:E16">
    <cfRule type="expression" priority="2" aboveAverage="0" equalAverage="0" bottom="0" percent="0" rank="0" text="" dxfId="0">
      <formula>E7&gt;0</formula>
    </cfRule>
    <cfRule type="expression" priority="3" aboveAverage="0" equalAverage="0" bottom="0" percent="0" rank="0" text="" dxfId="1">
      <formula>E7&lt;0</formula>
    </cfRule>
  </conditionalFormatting>
  <conditionalFormatting sqref="H7:H16">
    <cfRule type="expression" priority="4" aboveAverage="0" equalAverage="0" bottom="0" percent="0" rank="0" text="" dxfId="0">
      <formula>H7&gt;0</formula>
    </cfRule>
    <cfRule type="expression" priority="5" aboveAverage="0" equalAverage="0" bottom="0" percent="0" rank="0" text="" dxfId="1">
      <formula>H7&lt;0</formula>
    </cfRule>
  </conditionalFormatting>
  <conditionalFormatting sqref="E22:E24">
    <cfRule type="expression" priority="6" aboveAverage="0" equalAverage="0" bottom="0" percent="0" rank="0" text="" dxfId="0">
      <formula>E22&gt;0</formula>
    </cfRule>
    <cfRule type="expression" priority="7" aboveAverage="0" equalAverage="0" bottom="0" percent="0" rank="0" text="" dxfId="1">
      <formula>E22&lt;0</formula>
    </cfRule>
  </conditionalFormatting>
  <printOptions headings="false" gridLines="false" gridLinesSet="true" horizontalCentered="false" verticalCentered="false"/>
  <pageMargins left="0.747916666666667" right="0.747916666666667" top="1.18125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false"/>
  </sheetPr>
  <dimension ref="A1:K80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D29" activeCellId="0" sqref="D29"/>
    </sheetView>
  </sheetViews>
  <sheetFormatPr defaultColWidth="15.3359375" defaultRowHeight="11.25" zeroHeight="false" outlineLevelRow="0" outlineLevelCol="0"/>
  <cols>
    <col collapsed="false" customWidth="true" hidden="false" outlineLevel="0" max="1" min="1" style="0" width="28.83"/>
    <col collapsed="false" customWidth="true" hidden="false" outlineLevel="0" max="2" min="2" style="0" width="16.33"/>
    <col collapsed="false" customWidth="true" hidden="false" outlineLevel="0" max="3" min="3" style="0" width="18.5"/>
    <col collapsed="false" customWidth="true" hidden="false" outlineLevel="0" max="4" min="4" style="0" width="41"/>
    <col collapsed="false" customWidth="true" hidden="false" outlineLevel="0" max="5" min="5" style="0" width="16.33"/>
    <col collapsed="false" customWidth="true" hidden="false" outlineLevel="0" max="6" min="6" style="0" width="18.5"/>
    <col collapsed="false" customWidth="true" hidden="false" outlineLevel="0" max="7" min="7" style="0" width="16.33"/>
    <col collapsed="false" customWidth="true" hidden="true" outlineLevel="0" max="8" min="8" style="0" width="13"/>
    <col collapsed="false" customWidth="true" hidden="true" outlineLevel="0" max="9" min="9" style="0" width="0.33"/>
    <col collapsed="false" customWidth="true" hidden="true" outlineLevel="0" max="10" min="10" style="0" width="13.67"/>
    <col collapsed="false" customWidth="true" hidden="true" outlineLevel="0" max="11" min="11" style="0" width="11"/>
  </cols>
  <sheetData>
    <row r="1" customFormat="false" ht="23.25" hidden="false" customHeight="true" outlineLevel="0" collapsed="false">
      <c r="A1" s="75" t="s">
        <v>44</v>
      </c>
      <c r="B1" s="75"/>
      <c r="C1" s="75"/>
      <c r="D1" s="75"/>
      <c r="E1" s="75"/>
      <c r="F1" s="75"/>
      <c r="G1" s="75"/>
      <c r="H1" s="76"/>
    </row>
    <row r="2" customFormat="false" ht="10.5" hidden="false" customHeight="true" outlineLevel="0" collapsed="false">
      <c r="A2" s="77"/>
      <c r="B2" s="77"/>
      <c r="C2" s="77"/>
      <c r="D2" s="77"/>
      <c r="E2" s="77"/>
      <c r="F2" s="77"/>
      <c r="G2" s="77"/>
      <c r="H2" s="77"/>
      <c r="I2" s="78" t="str">
        <f aca="false">IF(ROUND(C50,0)=ROUND(C80,0),"대차검증(당기): 일치","대차검증(당기): 불일치 ⚠")</f>
        <v>대차검증(당기): 일치</v>
      </c>
    </row>
    <row r="3" customFormat="false" ht="19.5" hidden="false" customHeight="true" outlineLevel="0" collapsed="false">
      <c r="A3" s="79" t="str">
        <f aca="false"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- 2026년06월30일</v>
      </c>
      <c r="B3" s="79"/>
      <c r="C3" s="79"/>
      <c r="D3" s="79"/>
      <c r="E3" s="79"/>
      <c r="F3" s="79"/>
      <c r="G3" s="79"/>
      <c r="H3" s="5"/>
      <c r="I3" s="78" t="str">
        <f aca="false">IF(ROUND(F50,0)=ROUND(F80,0),"대차검증(전기): 일치","대차검증(전기): 불일치 ⚠")</f>
        <v>대차검증(전기): 일치</v>
      </c>
    </row>
    <row r="4" customFormat="false" ht="19.5" hidden="false" customHeight="true" outlineLevel="0" collapsed="false">
      <c r="A4" s="79" t="str">
        <f aca="false"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79"/>
      <c r="C4" s="79"/>
      <c r="D4" s="79"/>
      <c r="E4" s="79"/>
      <c r="F4" s="79"/>
      <c r="G4" s="79"/>
      <c r="H4" s="5"/>
    </row>
    <row r="5" customFormat="false" ht="12.75" hidden="false" customHeight="true" outlineLevel="0" collapsed="false"/>
    <row r="6" customFormat="false" ht="11.25" hidden="false" customHeight="true" outlineLevel="0" collapsed="false">
      <c r="A6" s="80" t="s">
        <v>45</v>
      </c>
      <c r="G6" s="81" t="s">
        <v>46</v>
      </c>
    </row>
    <row r="7" customFormat="false" ht="18.75" hidden="false" customHeight="true" outlineLevel="0" collapsed="false">
      <c r="A7" s="82" t="s">
        <v>47</v>
      </c>
      <c r="B7" s="82" t="s">
        <v>48</v>
      </c>
      <c r="C7" s="82"/>
      <c r="D7" s="82" t="s">
        <v>49</v>
      </c>
      <c r="E7" s="82" t="s">
        <v>50</v>
      </c>
      <c r="F7" s="82"/>
      <c r="G7" s="82" t="s">
        <v>51</v>
      </c>
      <c r="J7" s="83" t="s">
        <v>52</v>
      </c>
      <c r="K7" s="83" t="s">
        <v>19</v>
      </c>
    </row>
    <row r="8" customFormat="false" ht="18.75" hidden="false" customHeight="true" outlineLevel="0" collapsed="false">
      <c r="A8" s="82"/>
      <c r="B8" s="82" t="s">
        <v>53</v>
      </c>
      <c r="C8" s="82"/>
      <c r="D8" s="82"/>
      <c r="E8" s="82" t="s">
        <v>54</v>
      </c>
      <c r="F8" s="82"/>
      <c r="G8" s="82"/>
    </row>
    <row r="9" customFormat="false" ht="17.25" hidden="false" customHeight="true" outlineLevel="0" collapsed="false">
      <c r="A9" s="84" t="s">
        <v>55</v>
      </c>
      <c r="B9" s="85"/>
      <c r="C9" s="85"/>
      <c r="D9" s="86"/>
      <c r="E9" s="85"/>
      <c r="F9" s="85"/>
      <c r="G9" s="87"/>
      <c r="H9" s="88" t="str">
        <f aca="false">SUBSTITUTE(A9," ","")</f>
        <v>자산</v>
      </c>
      <c r="I9" s="88" t="str">
        <f aca="false">H9&amp;"|"&amp;COUNTIF($H$9:H9,H9)</f>
        <v>자산|1</v>
      </c>
      <c r="J9" s="89" t="str">
        <f aca="false">IF($A9="","",IF(ISNUMBER(MATCH($I9,재무상태표!$G:$G,0)),"✓ 일치","⚠ 확인필요"))</f>
        <v>✓ 일치</v>
      </c>
      <c r="K9" s="90" t="str">
        <f aca="false">IFERROR(IF(F9=0,"",(C9-F9)/ABS(F9)),"")</f>
        <v/>
      </c>
    </row>
    <row r="10" customFormat="false" ht="17.25" hidden="false" customHeight="true" outlineLevel="0" collapsed="false">
      <c r="A10" s="91" t="s">
        <v>56</v>
      </c>
      <c r="B10" s="92" t="n">
        <f aca="false">IFERROR(INDEX(재무상태표!$B:$B,MATCH($I10,재무상태표!$G:$G,0)),0)</f>
        <v>0</v>
      </c>
      <c r="C10" s="93" t="str">
        <f aca="false">IFERROR(INDEX(재무상태표!$C:$C,MATCH($I10,재무상태표!$G:$G,0)),0)</f>
        <v>17,095,747,352</v>
      </c>
      <c r="D10" s="94"/>
      <c r="E10" s="92" t="n">
        <f aca="false">IFERROR(INDEX(재무상태표!$D:$D,MATCH($I10,재무상태표!$G:$G,0)),0)</f>
        <v>0</v>
      </c>
      <c r="F10" s="93" t="str">
        <f aca="false">IFERROR(INDEX(재무상태표!$E:$E,MATCH($I10,재무상태표!$G:$G,0)),0)</f>
        <v>16,586,842,935</v>
      </c>
      <c r="G10" s="95" t="n">
        <f aca="false">C10-F10</f>
        <v>508904417</v>
      </c>
      <c r="H10" s="96" t="str">
        <f aca="false">SUBSTITUTE(A10," ","")</f>
        <v>Ⅰ.유동자산</v>
      </c>
      <c r="I10" s="96" t="str">
        <f aca="false">H10&amp;"|"&amp;COUNTIF($H$9:H10,H10)</f>
        <v>Ⅰ.유동자산|1</v>
      </c>
      <c r="J10" s="97" t="str">
        <f aca="false">IF($A10="","",IF(ISNUMBER(MATCH($I10,재무상태표!$G:$G,0)),"✓ 일치","⚠ 확인필요"))</f>
        <v>✓ 일치</v>
      </c>
      <c r="K10" s="98" t="n">
        <f aca="false">IFERROR(IF(F10=0,"",(C10-F10)/ABS(F10)),"")</f>
        <v>0.0306812103420934</v>
      </c>
    </row>
    <row r="11" customFormat="false" ht="17.25" hidden="false" customHeight="true" outlineLevel="0" collapsed="false">
      <c r="A11" s="99" t="s">
        <v>57</v>
      </c>
      <c r="B11" s="85" t="n">
        <f aca="false">IFERROR(INDEX(재무상태표!$B:$B,MATCH($I11,재무상태표!$G:$G,0)),0)</f>
        <v>0</v>
      </c>
      <c r="C11" s="100" t="str">
        <f aca="false">IFERROR(INDEX(재무상태표!$C:$C,MATCH($I11,재무상태표!$G:$G,0)),0)</f>
        <v>14,096,422,869</v>
      </c>
      <c r="D11" s="86"/>
      <c r="E11" s="85" t="n">
        <f aca="false">IFERROR(INDEX(재무상태표!$D:$D,MATCH($I11,재무상태표!$G:$G,0)),0)</f>
        <v>0</v>
      </c>
      <c r="F11" s="100" t="str">
        <f aca="false">IFERROR(INDEX(재무상태표!$E:$E,MATCH($I11,재무상태표!$G:$G,0)),0)</f>
        <v>14,460,731,833</v>
      </c>
      <c r="G11" s="87" t="n">
        <f aca="false">C11-F11</f>
        <v>-364308964</v>
      </c>
      <c r="H11" s="88" t="str">
        <f aca="false">SUBSTITUTE(A11," ","")</f>
        <v>(1)당좌자산</v>
      </c>
      <c r="I11" s="88" t="str">
        <f aca="false">H11&amp;"|"&amp;COUNTIF($H$9:H11,H11)</f>
        <v>(1)당좌자산|1</v>
      </c>
      <c r="J11" s="89" t="str">
        <f aca="false">IF($A11="","",IF(ISNUMBER(MATCH($I11,재무상태표!$G:$G,0)),"✓ 일치","⚠ 확인필요"))</f>
        <v>✓ 일치</v>
      </c>
      <c r="K11" s="90" t="n">
        <f aca="false">IFERROR(IF(F11=0,"",(C11-F11)/ABS(F11)),"")</f>
        <v>-0.0251929824995877</v>
      </c>
    </row>
    <row r="12" customFormat="false" ht="17.25" hidden="false" customHeight="true" outlineLevel="0" collapsed="false">
      <c r="A12" s="84" t="s">
        <v>58</v>
      </c>
      <c r="B12" s="85" t="n">
        <f aca="false">IFERROR(INDEX(재무상태표!$B:$B,MATCH($I12,재무상태표!$G:$G,0)),0)</f>
        <v>0</v>
      </c>
      <c r="C12" s="100" t="str">
        <f aca="false">IFERROR(INDEX(재무상태표!$C:$C,MATCH($I12,재무상태표!$G:$G,0)),0)</f>
        <v>3,619,901</v>
      </c>
      <c r="D12" s="86"/>
      <c r="E12" s="85" t="n">
        <f aca="false">IFERROR(INDEX(재무상태표!$D:$D,MATCH($I12,재무상태표!$G:$G,0)),0)</f>
        <v>0</v>
      </c>
      <c r="F12" s="100" t="str">
        <f aca="false">IFERROR(INDEX(재무상태표!$E:$E,MATCH($I12,재무상태표!$G:$G,0)),0)</f>
        <v>6,782,551</v>
      </c>
      <c r="G12" s="87" t="n">
        <f aca="false">C12-F12</f>
        <v>-3162650</v>
      </c>
      <c r="H12" s="88" t="str">
        <f aca="false">SUBSTITUTE(A12," ","")</f>
        <v>현금</v>
      </c>
      <c r="I12" s="88" t="str">
        <f aca="false">H12&amp;"|"&amp;COUNTIF($H$9:H12,H12)</f>
        <v>현금|1</v>
      </c>
      <c r="J12" s="89" t="str">
        <f aca="false">IF($A12="","",IF(ISNUMBER(MATCH($I12,재무상태표!$G:$G,0)),"✓ 일치","⚠ 확인필요"))</f>
        <v>✓ 일치</v>
      </c>
      <c r="K12" s="90" t="n">
        <f aca="false">IFERROR(IF(F12=0,"",(C12-F12)/ABS(F12)),"")</f>
        <v>-0.466292107497607</v>
      </c>
    </row>
    <row r="13" customFormat="false" ht="17.25" hidden="false" customHeight="true" outlineLevel="0" collapsed="false">
      <c r="A13" s="84" t="s">
        <v>59</v>
      </c>
      <c r="B13" s="85" t="n">
        <f aca="false">IFERROR(INDEX(재무상태표!$B:$B,MATCH($I13,재무상태표!$G:$G,0)),0)</f>
        <v>0</v>
      </c>
      <c r="C13" s="100" t="str">
        <f aca="false">IFERROR(INDEX(재무상태표!$C:$C,MATCH($I13,재무상태표!$G:$G,0)),0)</f>
        <v>1,709,285,136</v>
      </c>
      <c r="D13" s="86"/>
      <c r="E13" s="85" t="n">
        <f aca="false">IFERROR(INDEX(재무상태표!$D:$D,MATCH($I13,재무상태표!$G:$G,0)),0)</f>
        <v>0</v>
      </c>
      <c r="F13" s="100" t="str">
        <f aca="false">IFERROR(INDEX(재무상태표!$E:$E,MATCH($I13,재무상태표!$G:$G,0)),0)</f>
        <v>3,125,443,636</v>
      </c>
      <c r="G13" s="87" t="n">
        <f aca="false">C13-F13</f>
        <v>-1416158500</v>
      </c>
      <c r="H13" s="88" t="str">
        <f aca="false">SUBSTITUTE(A13," ","")</f>
        <v>보통예금</v>
      </c>
      <c r="I13" s="88" t="str">
        <f aca="false">H13&amp;"|"&amp;COUNTIF($H$9:H13,H13)</f>
        <v>보통예금|1</v>
      </c>
      <c r="J13" s="89" t="str">
        <f aca="false">IF($A13="","",IF(ISNUMBER(MATCH($I13,재무상태표!$G:$G,0)),"✓ 일치","⚠ 확인필요"))</f>
        <v>✓ 일치</v>
      </c>
      <c r="K13" s="90" t="n">
        <f aca="false">IFERROR(IF(F13=0,"",(C13-F13)/ABS(F13)),"")</f>
        <v>-0.453106395421172</v>
      </c>
    </row>
    <row r="14" customFormat="false" ht="17.25" hidden="false" customHeight="true" outlineLevel="0" collapsed="false">
      <c r="A14" s="84" t="s">
        <v>60</v>
      </c>
      <c r="B14" s="85" t="n">
        <f aca="false">IFERROR(INDEX(재무상태표!$B:$B,MATCH($I14,재무상태표!$G:$G,0)),0)</f>
        <v>0</v>
      </c>
      <c r="C14" s="100" t="str">
        <f aca="false">IFERROR(INDEX(재무상태표!$C:$C,MATCH($I14,재무상태표!$G:$G,0)),0)</f>
        <v>6,800,000,000</v>
      </c>
      <c r="D14" s="86"/>
      <c r="E14" s="85" t="n">
        <f aca="false">IFERROR(INDEX(재무상태표!$D:$D,MATCH($I14,재무상태표!$G:$G,0)),0)</f>
        <v>0</v>
      </c>
      <c r="F14" s="100" t="str">
        <f aca="false">IFERROR(INDEX(재무상태표!$E:$E,MATCH($I14,재무상태표!$G:$G,0)),0)</f>
        <v>7,100,000,000</v>
      </c>
      <c r="G14" s="87" t="n">
        <f aca="false">C14-F14</f>
        <v>-300000000</v>
      </c>
      <c r="H14" s="88" t="str">
        <f aca="false">SUBSTITUTE(A14," ","")</f>
        <v>단기금융상품</v>
      </c>
      <c r="I14" s="88" t="str">
        <f aca="false">H14&amp;"|"&amp;COUNTIF($H$9:H14,H14)</f>
        <v>단기금융상품|1</v>
      </c>
      <c r="J14" s="89" t="str">
        <f aca="false">IF($A14="","",IF(ISNUMBER(MATCH($I14,재무상태표!$G:$G,0)),"✓ 일치","⚠ 확인필요"))</f>
        <v>✓ 일치</v>
      </c>
      <c r="K14" s="90" t="n">
        <f aca="false">IFERROR(IF(F14=0,"",(C14-F14)/ABS(F14)),"")</f>
        <v>-0.0422535211267606</v>
      </c>
    </row>
    <row r="15" customFormat="false" ht="17.25" hidden="false" customHeight="true" outlineLevel="0" collapsed="false">
      <c r="A15" s="84" t="s">
        <v>61</v>
      </c>
      <c r="B15" s="85" t="n">
        <f aca="false">IFERROR(INDEX(재무상태표!$B:$B,MATCH($I15,재무상태표!$G:$G,0)),0)</f>
        <v>0</v>
      </c>
      <c r="C15" s="100" t="str">
        <f aca="false">IFERROR(INDEX(재무상태표!$C:$C,MATCH($I15,재무상태표!$G:$G,0)),0)</f>
        <v>588,242,162</v>
      </c>
      <c r="D15" s="86"/>
      <c r="E15" s="85" t="n">
        <f aca="false">IFERROR(INDEX(재무상태표!$D:$D,MATCH($I15,재무상태표!$G:$G,0)),0)</f>
        <v>0</v>
      </c>
      <c r="F15" s="100" t="str">
        <f aca="false">IFERROR(INDEX(재무상태표!$E:$E,MATCH($I15,재무상태표!$G:$G,0)),0)</f>
        <v>715,753,523</v>
      </c>
      <c r="G15" s="87" t="n">
        <f aca="false">C15-F15</f>
        <v>-127511361</v>
      </c>
      <c r="H15" s="88" t="str">
        <f aca="false">SUBSTITUTE(A15," ","")</f>
        <v>외화보통예금</v>
      </c>
      <c r="I15" s="88" t="str">
        <f aca="false">H15&amp;"|"&amp;COUNTIF($H$9:H15,H15)</f>
        <v>외화보통예금|1</v>
      </c>
      <c r="J15" s="89" t="str">
        <f aca="false">IF($A15="","",IF(ISNUMBER(MATCH($I15,재무상태표!$G:$G,0)),"✓ 일치","⚠ 확인필요"))</f>
        <v>✓ 일치</v>
      </c>
      <c r="K15" s="90" t="n">
        <f aca="false">IFERROR(IF(F15=0,"",(C15-F15)/ABS(F15)),"")</f>
        <v>-0.178149819599281</v>
      </c>
    </row>
    <row r="16" customFormat="false" ht="17.25" hidden="false" customHeight="true" outlineLevel="0" collapsed="false">
      <c r="A16" s="84" t="s">
        <v>62</v>
      </c>
      <c r="B16" s="100" t="str">
        <f aca="false">IFERROR(INDEX(재무상태표!$B:$B,MATCH($I16,재무상태표!$G:$G,0)),0)</f>
        <v>3,937,766,693</v>
      </c>
      <c r="C16" s="85" t="n">
        <f aca="false">IFERROR(INDEX(재무상태표!$C:$C,MATCH($I16,재무상태표!$G:$G,0)),0)</f>
        <v>0</v>
      </c>
      <c r="D16" s="86"/>
      <c r="E16" s="100" t="str">
        <f aca="false">IFERROR(INDEX(재무상태표!$D:$D,MATCH($I16,재무상태표!$G:$G,0)),0)</f>
        <v>3,196,105,509</v>
      </c>
      <c r="F16" s="85" t="n">
        <f aca="false">IFERROR(INDEX(재무상태표!$E:$E,MATCH($I16,재무상태표!$G:$G,0)),0)</f>
        <v>0</v>
      </c>
      <c r="G16" s="87" t="n">
        <f aca="false">B16-E16</f>
        <v>741661184</v>
      </c>
      <c r="H16" s="88" t="str">
        <f aca="false">SUBSTITUTE(A16," ","")</f>
        <v>외상매출금</v>
      </c>
      <c r="I16" s="88" t="str">
        <f aca="false">H16&amp;"|"&amp;COUNTIF($H$9:H16,H16)</f>
        <v>외상매출금|1</v>
      </c>
      <c r="J16" s="89" t="str">
        <f aca="false">IF($A16="","",IF(ISNUMBER(MATCH($I16,재무상태표!$G:$G,0)),"✓ 일치","⚠ 확인필요"))</f>
        <v>✓ 일치</v>
      </c>
      <c r="K16" s="90" t="str">
        <f aca="false">IFERROR(IF(F16=0,"",(C16-F16)/ABS(F16)),"")</f>
        <v/>
      </c>
    </row>
    <row r="17" customFormat="false" ht="17.25" hidden="false" customHeight="true" outlineLevel="0" collapsed="false">
      <c r="A17" s="84" t="s">
        <v>63</v>
      </c>
      <c r="B17" s="100" t="str">
        <f aca="false">IFERROR(INDEX(재무상태표!$B:$B,MATCH($I17,재무상태표!$G:$G,0)),0)</f>
        <v>156,987,179</v>
      </c>
      <c r="C17" s="100" t="str">
        <f aca="false">IFERROR(INDEX(재무상태표!$C:$C,MATCH($I17,재무상태표!$G:$G,0)),0)</f>
        <v>3,780,779,514</v>
      </c>
      <c r="D17" s="86"/>
      <c r="E17" s="100" t="str">
        <f aca="false">IFERROR(INDEX(재무상태표!$D:$D,MATCH($I17,재무상태표!$G:$G,0)),0)</f>
        <v>156,987,179</v>
      </c>
      <c r="F17" s="100" t="str">
        <f aca="false">IFERROR(INDEX(재무상태표!$E:$E,MATCH($I17,재무상태표!$G:$G,0)),0)</f>
        <v>3,039,118,330</v>
      </c>
      <c r="G17" s="87" t="n">
        <f aca="false">C17-F17</f>
        <v>741661184</v>
      </c>
      <c r="H17" s="88" t="str">
        <f aca="false">SUBSTITUTE(A17," ","")</f>
        <v>대손충당금</v>
      </c>
      <c r="I17" s="88" t="str">
        <f aca="false">H17&amp;"|"&amp;COUNTIF($H$9:H17,H17)</f>
        <v>대손충당금|1</v>
      </c>
      <c r="J17" s="89" t="str">
        <f aca="false">IF($A17="","",IF(ISNUMBER(MATCH($I17,재무상태표!$G:$G,0)),"✓ 일치","⚠ 확인필요"))</f>
        <v>✓ 일치</v>
      </c>
      <c r="K17" s="90" t="n">
        <f aca="false">IFERROR(IF(F17=0,"",(C17-F17)/ABS(F17)),"")</f>
        <v>0.244038271454866</v>
      </c>
    </row>
    <row r="18" customFormat="false" ht="17.25" hidden="false" customHeight="true" outlineLevel="0" collapsed="false">
      <c r="A18" s="84" t="s">
        <v>64</v>
      </c>
      <c r="B18" s="100" t="str">
        <f aca="false">IFERROR(INDEX(재무상태표!$B:$B,MATCH($I18,재무상태표!$G:$G,0)),0)</f>
        <v>2,209,000</v>
      </c>
      <c r="C18" s="85" t="n">
        <f aca="false">IFERROR(INDEX(재무상태표!$C:$C,MATCH($I18,재무상태표!$G:$G,0)),0)</f>
        <v>0</v>
      </c>
      <c r="D18" s="86"/>
      <c r="E18" s="100" t="str">
        <f aca="false">IFERROR(INDEX(재무상태표!$D:$D,MATCH($I18,재무상태표!$G:$G,0)),0)</f>
        <v>17,134,890</v>
      </c>
      <c r="F18" s="85" t="n">
        <f aca="false">IFERROR(INDEX(재무상태표!$E:$E,MATCH($I18,재무상태표!$G:$G,0)),0)</f>
        <v>0</v>
      </c>
      <c r="G18" s="87" t="n">
        <f aca="false">C18-F18</f>
        <v>0</v>
      </c>
      <c r="H18" s="88" t="str">
        <f aca="false">SUBSTITUTE(A18," ","")</f>
        <v>받을어음</v>
      </c>
      <c r="I18" s="88" t="str">
        <f aca="false">H18&amp;"|"&amp;COUNTIF($H$9:H18,H18)</f>
        <v>받을어음|1</v>
      </c>
      <c r="J18" s="89" t="str">
        <f aca="false">IF($A18="","",IF(ISNUMBER(MATCH($I18,재무상태표!$G:$G,0)),"✓ 일치","⚠ 확인필요"))</f>
        <v>✓ 일치</v>
      </c>
      <c r="K18" s="90" t="str">
        <f aca="false">IFERROR(IF(F18=0,"",(C18-F18)/ABS(F18)),"")</f>
        <v/>
      </c>
    </row>
    <row r="19" customFormat="false" ht="17.25" hidden="false" customHeight="true" outlineLevel="0" collapsed="false">
      <c r="A19" s="84" t="s">
        <v>63</v>
      </c>
      <c r="B19" s="100" t="str">
        <f aca="false">IFERROR(INDEX(재무상태표!$B:$B,MATCH($I19,재무상태표!$G:$G,0)),0)</f>
        <v>171,300</v>
      </c>
      <c r="C19" s="100" t="str">
        <f aca="false">IFERROR(INDEX(재무상태표!$C:$C,MATCH($I19,재무상태표!$G:$G,0)),0)</f>
        <v>2,037,700</v>
      </c>
      <c r="D19" s="86"/>
      <c r="E19" s="100" t="str">
        <f aca="false">IFERROR(INDEX(재무상태표!$D:$D,MATCH($I19,재무상태표!$G:$G,0)),0)</f>
        <v>171,300</v>
      </c>
      <c r="F19" s="100" t="str">
        <f aca="false">IFERROR(INDEX(재무상태표!$E:$E,MATCH($I19,재무상태표!$G:$G,0)),0)</f>
        <v>16,963,590</v>
      </c>
      <c r="G19" s="87" t="n">
        <f aca="false">C19-F19</f>
        <v>-14925890</v>
      </c>
      <c r="H19" s="88" t="str">
        <f aca="false">SUBSTITUTE(A19," ","")</f>
        <v>대손충당금</v>
      </c>
      <c r="I19" s="88" t="str">
        <f aca="false">H19&amp;"|"&amp;COUNTIF($H$9:H19,H19)</f>
        <v>대손충당금|2</v>
      </c>
      <c r="J19" s="89" t="str">
        <f aca="false">IF($A19="","",IF(ISNUMBER(MATCH($I19,재무상태표!$G:$G,0)),"✓ 일치","⚠ 확인필요"))</f>
        <v>✓ 일치</v>
      </c>
      <c r="K19" s="90" t="n">
        <f aca="false">IFERROR(IF(F19=0,"",(C19-F19)/ABS(F19)),"")</f>
        <v>-0.879878021102844</v>
      </c>
    </row>
    <row r="20" customFormat="false" ht="17.25" hidden="false" customHeight="true" outlineLevel="0" collapsed="false">
      <c r="A20" s="84" t="s">
        <v>65</v>
      </c>
      <c r="B20" s="85" t="n">
        <f aca="false">IFERROR(INDEX(재무상태표!$B:$B,MATCH($I20,재무상태표!$G:$G,0)),0)</f>
        <v>0</v>
      </c>
      <c r="C20" s="85" t="n">
        <f aca="false">IFERROR(INDEX(재무상태표!$C:$C,MATCH($I20,재무상태표!$G:$G,0)),0)</f>
        <v>0</v>
      </c>
      <c r="D20" s="101"/>
      <c r="E20" s="85" t="n">
        <f aca="false">IFERROR(INDEX(재무상태표!$D:$D,MATCH($I20,재무상태표!$G:$G,0)),0)</f>
        <v>0</v>
      </c>
      <c r="F20" s="85" t="n">
        <f aca="false">IFERROR(INDEX(재무상태표!$E:$E,MATCH($I20,재무상태표!$G:$G,0)),0)</f>
        <v>0</v>
      </c>
      <c r="G20" s="87" t="n">
        <f aca="false">C20-F20</f>
        <v>0</v>
      </c>
      <c r="H20" s="88" t="str">
        <f aca="false">SUBSTITUTE(A20," ","")</f>
        <v>단기대여금</v>
      </c>
      <c r="I20" s="88" t="str">
        <f aca="false">H20&amp;"|"&amp;COUNTIF($H$9:H20,H20)</f>
        <v>단기대여금|1</v>
      </c>
      <c r="J20" s="89" t="str">
        <f aca="false">IF($A20="","",IF(ISNUMBER(MATCH($I20,재무상태표!$G:$G,0)),"✓ 일치","⚠ 확인필요"))</f>
        <v>⚠ 확인필요</v>
      </c>
      <c r="K20" s="90" t="str">
        <f aca="false">IFERROR(IF(F20=0,"",(C20-F20)/ABS(F20)),"")</f>
        <v/>
      </c>
    </row>
    <row r="21" customFormat="false" ht="17.25" hidden="false" customHeight="true" outlineLevel="0" collapsed="false">
      <c r="A21" s="84" t="s">
        <v>66</v>
      </c>
      <c r="B21" s="85" t="n">
        <f aca="false">IFERROR(INDEX(재무상태표!$B:$B,MATCH($I21,재무상태표!$G:$G,0)),0)</f>
        <v>0</v>
      </c>
      <c r="C21" s="100" t="str">
        <f aca="false">IFERROR(INDEX(재무상태표!$C:$C,MATCH($I21,재무상태표!$G:$G,0)),0)</f>
        <v>15,136,465</v>
      </c>
      <c r="D21" s="102" t="s">
        <v>67</v>
      </c>
      <c r="E21" s="85" t="n">
        <f aca="false">IFERROR(INDEX(재무상태표!$D:$D,MATCH($I21,재무상태표!$G:$G,0)),0)</f>
        <v>0</v>
      </c>
      <c r="F21" s="100" t="str">
        <f aca="false">IFERROR(INDEX(재무상태표!$E:$E,MATCH($I21,재무상태표!$G:$G,0)),0)</f>
        <v>15,136,465</v>
      </c>
      <c r="G21" s="87" t="n">
        <f aca="false">C21-F21</f>
        <v>0</v>
      </c>
      <c r="H21" s="88" t="str">
        <f aca="false">SUBSTITUTE(A21," ","")</f>
        <v>미수수익</v>
      </c>
      <c r="I21" s="88" t="str">
        <f aca="false">H21&amp;"|"&amp;COUNTIF($H$9:H21,H21)</f>
        <v>미수수익|1</v>
      </c>
      <c r="J21" s="89" t="str">
        <f aca="false">IF($A21="","",IF(ISNUMBER(MATCH($I21,재무상태표!$G:$G,0)),"✓ 일치","⚠ 확인필요"))</f>
        <v>✓ 일치</v>
      </c>
      <c r="K21" s="90" t="n">
        <f aca="false">IFERROR(IF(F21=0,"",(C21-F21)/ABS(F21)),"")</f>
        <v>0</v>
      </c>
    </row>
    <row r="22" customFormat="false" ht="21.75" hidden="false" customHeight="true" outlineLevel="0" collapsed="false">
      <c r="A22" s="84" t="s">
        <v>68</v>
      </c>
      <c r="B22" s="85" t="n">
        <f aca="false">IFERROR(INDEX(재무상태표!$B:$B,MATCH($I22,재무상태표!$G:$G,0)),0)</f>
        <v>0</v>
      </c>
      <c r="C22" s="100" t="str">
        <f aca="false">IFERROR(INDEX(재무상태표!$C:$C,MATCH($I22,재무상태표!$G:$G,0)),0)</f>
        <v>272,489,486</v>
      </c>
      <c r="D22" s="102" t="s">
        <v>69</v>
      </c>
      <c r="E22" s="85" t="n">
        <f aca="false">IFERROR(INDEX(재무상태표!$D:$D,MATCH($I22,재무상태표!$G:$G,0)),0)</f>
        <v>0</v>
      </c>
      <c r="F22" s="100" t="str">
        <f aca="false">IFERROR(INDEX(재무상태표!$E:$E,MATCH($I22,재무상태표!$G:$G,0)),0)</f>
        <v>398,047,074</v>
      </c>
      <c r="G22" s="87" t="n">
        <f aca="false">C22-F22</f>
        <v>-125557588</v>
      </c>
      <c r="H22" s="88" t="str">
        <f aca="false">SUBSTITUTE(A22," ","")</f>
        <v>미수금</v>
      </c>
      <c r="I22" s="88" t="str">
        <f aca="false">H22&amp;"|"&amp;COUNTIF($H$9:H22,H22)</f>
        <v>미수금|1</v>
      </c>
      <c r="J22" s="89" t="str">
        <f aca="false">IF($A22="","",IF(ISNUMBER(MATCH($I22,재무상태표!$G:$G,0)),"✓ 일치","⚠ 확인필요"))</f>
        <v>✓ 일치</v>
      </c>
      <c r="K22" s="90" t="n">
        <f aca="false">IFERROR(IF(F22=0,"",(C22-F22)/ABS(F22)),"")</f>
        <v>-0.315434018238757</v>
      </c>
    </row>
    <row r="23" customFormat="false" ht="24.75" hidden="false" customHeight="true" outlineLevel="0" collapsed="false">
      <c r="A23" s="84" t="s">
        <v>70</v>
      </c>
      <c r="B23" s="85" t="n">
        <f aca="false">IFERROR(INDEX(재무상태표!$B:$B,MATCH($I23,재무상태표!$G:$G,0)),0)</f>
        <v>0</v>
      </c>
      <c r="C23" s="100" t="str">
        <f aca="false">IFERROR(INDEX(재무상태표!$C:$C,MATCH($I23,재무상태표!$G:$G,0)),0)</f>
        <v>1,000,000</v>
      </c>
      <c r="D23" s="102" t="s">
        <v>71</v>
      </c>
      <c r="E23" s="85" t="n">
        <f aca="false">IFERROR(INDEX(재무상태표!$D:$D,MATCH($I23,재무상태표!$G:$G,0)),0)</f>
        <v>0</v>
      </c>
      <c r="F23" s="100" t="str">
        <f aca="false">IFERROR(INDEX(재무상태표!$E:$E,MATCH($I23,재무상태표!$G:$G,0)),0)</f>
        <v>1,240,000</v>
      </c>
      <c r="G23" s="87" t="n">
        <f aca="false">C23-F23</f>
        <v>-240000</v>
      </c>
      <c r="H23" s="88" t="str">
        <f aca="false">SUBSTITUTE(A23," ","")</f>
        <v>선급금</v>
      </c>
      <c r="I23" s="88" t="str">
        <f aca="false">H23&amp;"|"&amp;COUNTIF($H$9:H23,H23)</f>
        <v>선급금|1</v>
      </c>
      <c r="J23" s="89" t="str">
        <f aca="false">IF($A23="","",IF(ISNUMBER(MATCH($I23,재무상태표!$G:$G,0)),"✓ 일치","⚠ 확인필요"))</f>
        <v>✓ 일치</v>
      </c>
      <c r="K23" s="90" t="n">
        <f aca="false">IFERROR(IF(F23=0,"",(C23-F23)/ABS(F23)),"")</f>
        <v>-0.193548387096774</v>
      </c>
    </row>
    <row r="24" customFormat="false" ht="17.25" hidden="false" customHeight="true" outlineLevel="0" collapsed="false">
      <c r="A24" s="84" t="s">
        <v>72</v>
      </c>
      <c r="B24" s="85" t="n">
        <f aca="false">IFERROR(INDEX(재무상태표!$B:$B,MATCH($I24,재무상태표!$G:$G,0)),0)</f>
        <v>0</v>
      </c>
      <c r="C24" s="100" t="str">
        <f aca="false">IFERROR(INDEX(재무상태표!$C:$C,MATCH($I24,재무상태표!$G:$G,0)),0)</f>
        <v>4,048,315</v>
      </c>
      <c r="D24" s="101" t="s">
        <v>73</v>
      </c>
      <c r="E24" s="85" t="n">
        <f aca="false">IFERROR(INDEX(재무상태표!$D:$D,MATCH($I24,재무상태표!$G:$G,0)),0)</f>
        <v>0</v>
      </c>
      <c r="F24" s="100" t="str">
        <f aca="false">IFERROR(INDEX(재무상태표!$E:$E,MATCH($I24,재무상태표!$G:$G,0)),0)</f>
        <v>9,711,144</v>
      </c>
      <c r="G24" s="87" t="n">
        <f aca="false">C24-F24</f>
        <v>-5662829</v>
      </c>
      <c r="H24" s="88" t="str">
        <f aca="false">SUBSTITUTE(A24," ","")</f>
        <v>선급비용</v>
      </c>
      <c r="I24" s="88" t="str">
        <f aca="false">H24&amp;"|"&amp;COUNTIF($H$9:H24,H24)</f>
        <v>선급비용|1</v>
      </c>
      <c r="J24" s="89" t="str">
        <f aca="false">IF($A24="","",IF(ISNUMBER(MATCH($I24,재무상태표!$G:$G,0)),"✓ 일치","⚠ 확인필요"))</f>
        <v>✓ 일치</v>
      </c>
      <c r="K24" s="90" t="n">
        <f aca="false">IFERROR(IF(F24=0,"",(C24-F24)/ABS(F24)),"")</f>
        <v>-0.583126869501678</v>
      </c>
    </row>
    <row r="25" customFormat="false" ht="17.25" hidden="false" customHeight="true" outlineLevel="0" collapsed="false">
      <c r="A25" s="84" t="s">
        <v>74</v>
      </c>
      <c r="B25" s="85" t="n">
        <f aca="false">IFERROR(INDEX(재무상태표!$B:$B,MATCH($I25,재무상태표!$G:$G,0)),0)</f>
        <v>0</v>
      </c>
      <c r="C25" s="100" t="str">
        <f aca="false">IFERROR(INDEX(재무상태표!$C:$C,MATCH($I25,재무상태표!$G:$G,0)),0)</f>
        <v>900,000,000</v>
      </c>
      <c r="D25" s="102" t="s">
        <v>75</v>
      </c>
      <c r="E25" s="85" t="n">
        <f aca="false">IFERROR(INDEX(재무상태표!$D:$D,MATCH($I25,재무상태표!$G:$G,0)),0)</f>
        <v>0</v>
      </c>
      <c r="F25" s="85" t="n">
        <f aca="false">IFERROR(INDEX(재무상태표!$E:$E,MATCH($I25,재무상태표!$G:$G,0)),0)</f>
        <v>0</v>
      </c>
      <c r="G25" s="87" t="n">
        <f aca="false">C25-F25</f>
        <v>900000000</v>
      </c>
      <c r="H25" s="88" t="str">
        <f aca="false">SUBSTITUTE(A25," ","")</f>
        <v>가지급금</v>
      </c>
      <c r="I25" s="88" t="str">
        <f aca="false">H25&amp;"|"&amp;COUNTIF($H$9:H25,H25)</f>
        <v>가지급금|1</v>
      </c>
      <c r="J25" s="89" t="str">
        <f aca="false">IF($A25="","",IF(ISNUMBER(MATCH($I25,재무상태표!$G:$G,0)),"✓ 일치","⚠ 확인필요"))</f>
        <v>✓ 일치</v>
      </c>
      <c r="K25" s="90" t="str">
        <f aca="false">IFERROR(IF(F25=0,"",(C25-F25)/ABS(F25)),"")</f>
        <v/>
      </c>
    </row>
    <row r="26" customFormat="false" ht="17.25" hidden="false" customHeight="true" outlineLevel="0" collapsed="false">
      <c r="A26" s="84" t="s">
        <v>76</v>
      </c>
      <c r="B26" s="85" t="n">
        <f aca="false">IFERROR(INDEX(재무상태표!$B:$B,MATCH($I26,재무상태표!$G:$G,0)),0)</f>
        <v>0</v>
      </c>
      <c r="C26" s="100" t="n">
        <f aca="false">IFERROR(INDEX(재무상태표!$C:$C,MATCH($I26,재무상태표!$G:$G,0)),0)</f>
        <v>0</v>
      </c>
      <c r="D26" s="102"/>
      <c r="E26" s="85" t="n">
        <f aca="false">IFERROR(INDEX(재무상태표!$D:$D,MATCH($I26,재무상태표!$G:$G,0)),0)</f>
        <v>0</v>
      </c>
      <c r="F26" s="85" t="n">
        <f aca="false">IFERROR(INDEX(재무상태표!$E:$E,MATCH($I26,재무상태표!$G:$G,0)),0)</f>
        <v>0</v>
      </c>
      <c r="G26" s="87" t="n">
        <f aca="false">C26-F26</f>
        <v>0</v>
      </c>
      <c r="H26" s="88" t="str">
        <f aca="false">SUBSTITUTE(A26," ","")</f>
        <v>부가세대급금</v>
      </c>
      <c r="I26" s="88" t="str">
        <f aca="false">H26&amp;"|"&amp;COUNTIF($H$9:H26,H26)</f>
        <v>부가세대급금|1</v>
      </c>
      <c r="J26" s="89" t="str">
        <f aca="false">IF($A26="","",IF(ISNUMBER(MATCH($I26,재무상태표!$G:$G,0)),"✓ 일치","⚠ 확인필요"))</f>
        <v>⚠ 확인필요</v>
      </c>
      <c r="K26" s="90" t="str">
        <f aca="false">IFERROR(IF(F26=0,"",(C26-F26)/ABS(F26)),"")</f>
        <v/>
      </c>
    </row>
    <row r="27" customFormat="false" ht="17.25" hidden="false" customHeight="true" outlineLevel="0" collapsed="false">
      <c r="A27" s="84" t="s">
        <v>77</v>
      </c>
      <c r="B27" s="85" t="n">
        <f aca="false">IFERROR(INDEX(재무상태표!$B:$B,MATCH($I27,재무상태표!$G:$G,0)),0)</f>
        <v>0</v>
      </c>
      <c r="C27" s="100" t="str">
        <f aca="false">IFERROR(INDEX(재무상태표!$C:$C,MATCH($I27,재무상태표!$G:$G,0)),0)</f>
        <v>19,784,190</v>
      </c>
      <c r="D27" s="103" t="s">
        <v>78</v>
      </c>
      <c r="E27" s="85" t="n">
        <f aca="false">IFERROR(INDEX(재무상태표!$D:$D,MATCH($I27,재무상태표!$G:$G,0)),0)</f>
        <v>0</v>
      </c>
      <c r="F27" s="100" t="str">
        <f aca="false">IFERROR(INDEX(재무상태표!$E:$E,MATCH($I27,재무상태표!$G:$G,0)),0)</f>
        <v>32,535,520</v>
      </c>
      <c r="G27" s="87" t="n">
        <f aca="false">C27-F27</f>
        <v>-12751330</v>
      </c>
      <c r="H27" s="88" t="str">
        <f aca="false">SUBSTITUTE(A27," ","")</f>
        <v>선납세금</v>
      </c>
      <c r="I27" s="88" t="str">
        <f aca="false">H27&amp;"|"&amp;COUNTIF($H$9:H27,H27)</f>
        <v>선납세금|1</v>
      </c>
      <c r="J27" s="89" t="str">
        <f aca="false">IF($A27="","",IF(ISNUMBER(MATCH($I27,재무상태표!$G:$G,0)),"✓ 일치","⚠ 확인필요"))</f>
        <v>✓ 일치</v>
      </c>
      <c r="K27" s="90" t="n">
        <f aca="false">IFERROR(IF(F27=0,"",(C27-F27)/ABS(F27)),"")</f>
        <v>-0.391920276669929</v>
      </c>
    </row>
    <row r="28" customFormat="false" ht="17.25" hidden="false" customHeight="true" outlineLevel="0" collapsed="false">
      <c r="A28" s="99" t="s">
        <v>79</v>
      </c>
      <c r="B28" s="85" t="n">
        <f aca="false">IFERROR(INDEX(재무상태표!$B:$B,MATCH($I28,재무상태표!$G:$G,0)),0)</f>
        <v>0</v>
      </c>
      <c r="C28" s="100" t="str">
        <f aca="false">IFERROR(INDEX(재무상태표!$C:$C,MATCH($I28,재무상태표!$G:$G,0)),0)</f>
        <v>2,999,324,483</v>
      </c>
      <c r="D28" s="102"/>
      <c r="E28" s="85" t="n">
        <f aca="false">IFERROR(INDEX(재무상태표!$D:$D,MATCH($I28,재무상태표!$G:$G,0)),0)</f>
        <v>0</v>
      </c>
      <c r="F28" s="100" t="str">
        <f aca="false">IFERROR(INDEX(재무상태표!$E:$E,MATCH($I28,재무상태표!$G:$G,0)),0)</f>
        <v>2,126,111,102</v>
      </c>
      <c r="G28" s="87" t="n">
        <f aca="false">C28-F28</f>
        <v>873213381</v>
      </c>
      <c r="H28" s="88" t="str">
        <f aca="false">SUBSTITUTE(A28," ","")</f>
        <v>(2)재고자산</v>
      </c>
      <c r="I28" s="88" t="str">
        <f aca="false">H28&amp;"|"&amp;COUNTIF($H$9:H28,H28)</f>
        <v>(2)재고자산|1</v>
      </c>
      <c r="J28" s="89" t="str">
        <f aca="false">IF($A28="","",IF(ISNUMBER(MATCH($I28,재무상태표!$G:$G,0)),"✓ 일치","⚠ 확인필요"))</f>
        <v>✓ 일치</v>
      </c>
      <c r="K28" s="90" t="n">
        <f aca="false">IFERROR(IF(F28=0,"",(C28-F28)/ABS(F28)),"")</f>
        <v>0.41070919585462</v>
      </c>
    </row>
    <row r="29" customFormat="false" ht="17.25" hidden="false" customHeight="true" outlineLevel="0" collapsed="false">
      <c r="A29" s="84" t="s">
        <v>80</v>
      </c>
      <c r="B29" s="85" t="n">
        <f aca="false">IFERROR(INDEX(재무상태표!$B:$B,MATCH($I29,재무상태표!$G:$G,0)),0)</f>
        <v>0</v>
      </c>
      <c r="C29" s="100" t="str">
        <f aca="false">IFERROR(INDEX(재무상태표!$C:$C,MATCH($I29,재무상태표!$G:$G,0)),0)</f>
        <v>2,999,324,483</v>
      </c>
      <c r="D29" s="102"/>
      <c r="E29" s="85" t="n">
        <f aca="false">IFERROR(INDEX(재무상태표!$D:$D,MATCH($I29,재무상태표!$G:$G,0)),0)</f>
        <v>0</v>
      </c>
      <c r="F29" s="100" t="str">
        <f aca="false">IFERROR(INDEX(재무상태표!$E:$E,MATCH($I29,재무상태표!$G:$G,0)),0)</f>
        <v>2,126,111,102</v>
      </c>
      <c r="G29" s="87" t="n">
        <f aca="false">C29-F29</f>
        <v>873213381</v>
      </c>
      <c r="H29" s="88" t="str">
        <f aca="false">SUBSTITUTE(A29," ","")</f>
        <v>상품</v>
      </c>
      <c r="I29" s="88" t="str">
        <f aca="false">H29&amp;"|"&amp;COUNTIF($H$9:H29,H29)</f>
        <v>상품|1</v>
      </c>
      <c r="J29" s="89" t="str">
        <f aca="false">IF($A29="","",IF(ISNUMBER(MATCH($I29,재무상태표!$G:$G,0)),"✓ 일치","⚠ 확인필요"))</f>
        <v>✓ 일치</v>
      </c>
      <c r="K29" s="90" t="n">
        <f aca="false">IFERROR(IF(F29=0,"",(C29-F29)/ABS(F29)),"")</f>
        <v>0.41070919585462</v>
      </c>
    </row>
    <row r="30" customFormat="false" ht="17.25" hidden="false" customHeight="true" outlineLevel="0" collapsed="false">
      <c r="A30" s="91" t="s">
        <v>81</v>
      </c>
      <c r="B30" s="92" t="n">
        <f aca="false">IFERROR(INDEX(재무상태표!$B:$B,MATCH($I30,재무상태표!$G:$G,0)),0)</f>
        <v>0</v>
      </c>
      <c r="C30" s="93" t="str">
        <f aca="false">IFERROR(INDEX(재무상태표!$C:$C,MATCH($I30,재무상태표!$G:$G,0)),0)</f>
        <v>4,071,135,848</v>
      </c>
      <c r="D30" s="104"/>
      <c r="E30" s="92" t="n">
        <f aca="false">IFERROR(INDEX(재무상태표!$D:$D,MATCH($I30,재무상태표!$G:$G,0)),0)</f>
        <v>0</v>
      </c>
      <c r="F30" s="93" t="str">
        <f aca="false">IFERROR(INDEX(재무상태표!$E:$E,MATCH($I30,재무상태표!$G:$G,0)),0)</f>
        <v>4,055,552,394</v>
      </c>
      <c r="G30" s="95" t="n">
        <f aca="false">C30-F30</f>
        <v>15583454</v>
      </c>
      <c r="H30" s="96" t="str">
        <f aca="false">SUBSTITUTE(A30," ","")</f>
        <v>Ⅱ.비유동자산</v>
      </c>
      <c r="I30" s="96" t="str">
        <f aca="false">H30&amp;"|"&amp;COUNTIF($H$9:H30,H30)</f>
        <v>Ⅱ.비유동자산|1</v>
      </c>
      <c r="J30" s="97" t="str">
        <f aca="false">IF($A30="","",IF(ISNUMBER(MATCH($I30,재무상태표!$G:$G,0)),"✓ 일치","⚠ 확인필요"))</f>
        <v>✓ 일치</v>
      </c>
      <c r="K30" s="98" t="n">
        <f aca="false">IFERROR(IF(F30=0,"",(C30-F30)/ABS(F30)),"")</f>
        <v>0.00384249850231376</v>
      </c>
    </row>
    <row r="31" customFormat="false" ht="17.25" hidden="false" customHeight="true" outlineLevel="0" collapsed="false">
      <c r="A31" s="99" t="s">
        <v>82</v>
      </c>
      <c r="B31" s="85" t="n">
        <f aca="false">IFERROR(INDEX(재무상태표!$B:$B,MATCH($I31,재무상태표!$G:$G,0)),0)</f>
        <v>0</v>
      </c>
      <c r="C31" s="100" t="str">
        <f aca="false">IFERROR(INDEX(재무상태표!$C:$C,MATCH($I31,재무상태표!$G:$G,0)),0)</f>
        <v>28,125,000</v>
      </c>
      <c r="D31" s="102"/>
      <c r="E31" s="85" t="n">
        <f aca="false">IFERROR(INDEX(재무상태표!$D:$D,MATCH($I31,재무상태표!$G:$G,0)),0)</f>
        <v>0</v>
      </c>
      <c r="F31" s="100" t="str">
        <f aca="false">IFERROR(INDEX(재무상태표!$E:$E,MATCH($I31,재무상태표!$G:$G,0)),0)</f>
        <v>28,125,000</v>
      </c>
      <c r="G31" s="87" t="n">
        <f aca="false">C31-F31</f>
        <v>0</v>
      </c>
      <c r="H31" s="88" t="str">
        <f aca="false">SUBSTITUTE(A31," ","")</f>
        <v>(1)투자자산</v>
      </c>
      <c r="I31" s="88" t="str">
        <f aca="false">H31&amp;"|"&amp;COUNTIF($H$9:H31,H31)</f>
        <v>(1)투자자산|1</v>
      </c>
      <c r="J31" s="89" t="str">
        <f aca="false">IF($A31="","",IF(ISNUMBER(MATCH($I31,재무상태표!$G:$G,0)),"✓ 일치","⚠ 확인필요"))</f>
        <v>✓ 일치</v>
      </c>
      <c r="K31" s="90" t="n">
        <f aca="false">IFERROR(IF(F31=0,"",(C31-F31)/ABS(F31)),"")</f>
        <v>0</v>
      </c>
    </row>
    <row r="32" customFormat="false" ht="17.25" hidden="false" customHeight="true" outlineLevel="0" collapsed="false">
      <c r="A32" s="84" t="s">
        <v>83</v>
      </c>
      <c r="B32" s="85" t="n">
        <f aca="false">IFERROR(INDEX(재무상태표!$B:$B,MATCH($I32,재무상태표!$G:$G,0)),0)</f>
        <v>0</v>
      </c>
      <c r="C32" s="100" t="str">
        <f aca="false">IFERROR(INDEX(재무상태표!$C:$C,MATCH($I32,재무상태표!$G:$G,0)),0)</f>
        <v>28,125,000</v>
      </c>
      <c r="D32" s="102"/>
      <c r="E32" s="85" t="n">
        <f aca="false">IFERROR(INDEX(재무상태표!$D:$D,MATCH($I32,재무상태표!$G:$G,0)),0)</f>
        <v>0</v>
      </c>
      <c r="F32" s="100" t="str">
        <f aca="false">IFERROR(INDEX(재무상태표!$E:$E,MATCH($I32,재무상태표!$G:$G,0)),0)</f>
        <v>28,125,000</v>
      </c>
      <c r="G32" s="87" t="n">
        <f aca="false">C32-F32</f>
        <v>0</v>
      </c>
      <c r="H32" s="88" t="str">
        <f aca="false">SUBSTITUTE(A32," ","")</f>
        <v>매도가능증권</v>
      </c>
      <c r="I32" s="88" t="str">
        <f aca="false">H32&amp;"|"&amp;COUNTIF($H$9:H32,H32)</f>
        <v>매도가능증권|1</v>
      </c>
      <c r="J32" s="89" t="str">
        <f aca="false">IF($A32="","",IF(ISNUMBER(MATCH($I32,재무상태표!$G:$G,0)),"✓ 일치","⚠ 확인필요"))</f>
        <v>✓ 일치</v>
      </c>
      <c r="K32" s="90" t="n">
        <f aca="false">IFERROR(IF(F32=0,"",(C32-F32)/ABS(F32)),"")</f>
        <v>0</v>
      </c>
    </row>
    <row r="33" customFormat="false" ht="17.25" hidden="false" customHeight="true" outlineLevel="0" collapsed="false">
      <c r="A33" s="99" t="s">
        <v>84</v>
      </c>
      <c r="B33" s="85" t="n">
        <f aca="false">IFERROR(INDEX(재무상태표!$B:$B,MATCH($I33,재무상태표!$G:$G,0)),0)</f>
        <v>0</v>
      </c>
      <c r="C33" s="100" t="str">
        <f aca="false">IFERROR(INDEX(재무상태표!$C:$C,MATCH($I33,재무상태표!$G:$G,0)),0)</f>
        <v>3,374,314,988</v>
      </c>
      <c r="D33" s="102"/>
      <c r="E33" s="85" t="n">
        <f aca="false">IFERROR(INDEX(재무상태표!$D:$D,MATCH($I33,재무상태표!$G:$G,0)),0)</f>
        <v>0</v>
      </c>
      <c r="F33" s="100" t="str">
        <f aca="false">IFERROR(INDEX(재무상태표!$E:$E,MATCH($I33,재무상태표!$G:$G,0)),0)</f>
        <v>3,358,731,534</v>
      </c>
      <c r="G33" s="87" t="n">
        <f aca="false">C33-F33</f>
        <v>15583454</v>
      </c>
      <c r="H33" s="88" t="str">
        <f aca="false">SUBSTITUTE(A33," ","")</f>
        <v>(2)유형자산</v>
      </c>
      <c r="I33" s="88" t="str">
        <f aca="false">H33&amp;"|"&amp;COUNTIF($H$9:H33,H33)</f>
        <v>(2)유형자산|1</v>
      </c>
      <c r="J33" s="89" t="str">
        <f aca="false">IF($A33="","",IF(ISNUMBER(MATCH($I33,재무상태표!$G:$G,0)),"✓ 일치","⚠ 확인필요"))</f>
        <v>✓ 일치</v>
      </c>
      <c r="K33" s="90" t="n">
        <f aca="false">IFERROR(IF(F33=0,"",(C33-F33)/ABS(F33)),"")</f>
        <v>0.00463968431005894</v>
      </c>
    </row>
    <row r="34" customFormat="false" ht="17.25" hidden="false" customHeight="true" outlineLevel="0" collapsed="false">
      <c r="A34" s="84" t="s">
        <v>85</v>
      </c>
      <c r="B34" s="85" t="n">
        <f aca="false">IFERROR(INDEX(재무상태표!$B:$B,MATCH($I34,재무상태표!$G:$G,0)),0)</f>
        <v>0</v>
      </c>
      <c r="C34" s="100" t="str">
        <f aca="false">IFERROR(INDEX(재무상태표!$C:$C,MATCH($I34,재무상태표!$G:$G,0)),0)</f>
        <v>2,542,043,170</v>
      </c>
      <c r="D34" s="102"/>
      <c r="E34" s="85" t="n">
        <f aca="false">IFERROR(INDEX(재무상태표!$D:$D,MATCH($I34,재무상태표!$G:$G,0)),0)</f>
        <v>0</v>
      </c>
      <c r="F34" s="100" t="str">
        <f aca="false">IFERROR(INDEX(재무상태표!$E:$E,MATCH($I34,재무상태표!$G:$G,0)),0)</f>
        <v>2,542,043,170</v>
      </c>
      <c r="G34" s="87" t="n">
        <f aca="false">C34-F34</f>
        <v>0</v>
      </c>
      <c r="H34" s="88" t="str">
        <f aca="false">SUBSTITUTE(A34," ","")</f>
        <v>토지</v>
      </c>
      <c r="I34" s="88" t="str">
        <f aca="false">H34&amp;"|"&amp;COUNTIF($H$9:H34,H34)</f>
        <v>토지|1</v>
      </c>
      <c r="J34" s="89" t="str">
        <f aca="false">IF($A34="","",IF(ISNUMBER(MATCH($I34,재무상태표!$G:$G,0)),"✓ 일치","⚠ 확인필요"))</f>
        <v>✓ 일치</v>
      </c>
      <c r="K34" s="90" t="n">
        <f aca="false">IFERROR(IF(F34=0,"",(C34-F34)/ABS(F34)),"")</f>
        <v>0</v>
      </c>
    </row>
    <row r="35" customFormat="false" ht="17.25" hidden="false" customHeight="true" outlineLevel="0" collapsed="false">
      <c r="A35" s="84" t="s">
        <v>86</v>
      </c>
      <c r="B35" s="100" t="str">
        <f aca="false">IFERROR(INDEX(재무상태표!$B:$B,MATCH($I35,재무상태표!$G:$G,0)),0)</f>
        <v>877,003,320</v>
      </c>
      <c r="C35" s="85" t="n">
        <f aca="false">IFERROR(INDEX(재무상태표!$C:$C,MATCH($I35,재무상태표!$G:$G,0)),0)</f>
        <v>0</v>
      </c>
      <c r="D35" s="102"/>
      <c r="E35" s="100" t="str">
        <f aca="false">IFERROR(INDEX(재무상태표!$D:$D,MATCH($I35,재무상태표!$G:$G,0)),0)</f>
        <v>877,003,320</v>
      </c>
      <c r="F35" s="85" t="n">
        <f aca="false">IFERROR(INDEX(재무상태표!$E:$E,MATCH($I35,재무상태표!$G:$G,0)),0)</f>
        <v>0</v>
      </c>
      <c r="G35" s="87" t="n">
        <f aca="false">C35-F35</f>
        <v>0</v>
      </c>
      <c r="H35" s="88" t="str">
        <f aca="false">SUBSTITUTE(A35," ","")</f>
        <v>건물</v>
      </c>
      <c r="I35" s="88" t="str">
        <f aca="false">H35&amp;"|"&amp;COUNTIF($H$9:H35,H35)</f>
        <v>건물|1</v>
      </c>
      <c r="J35" s="89" t="str">
        <f aca="false">IF($A35="","",IF(ISNUMBER(MATCH($I35,재무상태표!$G:$G,0)),"✓ 일치","⚠ 확인필요"))</f>
        <v>✓ 일치</v>
      </c>
      <c r="K35" s="90" t="str">
        <f aca="false">IFERROR(IF(F35=0,"",(C35-F35)/ABS(F35)),"")</f>
        <v/>
      </c>
    </row>
    <row r="36" customFormat="false" ht="17.25" hidden="false" customHeight="true" outlineLevel="0" collapsed="false">
      <c r="A36" s="84" t="s">
        <v>87</v>
      </c>
      <c r="B36" s="100" t="str">
        <f aca="false">IFERROR(INDEX(재무상태표!$B:$B,MATCH($I36,재무상태표!$G:$G,0)),0)</f>
        <v>253,820,356</v>
      </c>
      <c r="C36" s="100" t="str">
        <f aca="false">IFERROR(INDEX(재무상태표!$C:$C,MATCH($I36,재무상태표!$G:$G,0)),0)</f>
        <v>623,182,964</v>
      </c>
      <c r="D36" s="102"/>
      <c r="E36" s="100" t="str">
        <f aca="false">IFERROR(INDEX(재무상태표!$D:$D,MATCH($I36,재무상태표!$G:$G,0)),0)</f>
        <v>242,857,808</v>
      </c>
      <c r="F36" s="100" t="str">
        <f aca="false">IFERROR(INDEX(재무상태표!$E:$E,MATCH($I36,재무상태표!$G:$G,0)),0)</f>
        <v>634,145,512</v>
      </c>
      <c r="G36" s="87" t="n">
        <f aca="false">C36-F36</f>
        <v>-10962548</v>
      </c>
      <c r="H36" s="88" t="str">
        <f aca="false">SUBSTITUTE(A36," ","")</f>
        <v>감가상각누계액</v>
      </c>
      <c r="I36" s="88" t="str">
        <f aca="false">H36&amp;"|"&amp;COUNTIF($H$9:H36,H36)</f>
        <v>감가상각누계액|1</v>
      </c>
      <c r="J36" s="89" t="str">
        <f aca="false">IF($A36="","",IF(ISNUMBER(MATCH($I36,재무상태표!$G:$G,0)),"✓ 일치","⚠ 확인필요"))</f>
        <v>✓ 일치</v>
      </c>
      <c r="K36" s="90" t="n">
        <f aca="false">IFERROR(IF(F36=0,"",(C36-F36)/ABS(F36)),"")</f>
        <v>-0.0172871175346267</v>
      </c>
    </row>
    <row r="37" customFormat="false" ht="17.25" hidden="false" customHeight="true" outlineLevel="0" collapsed="false">
      <c r="A37" s="84" t="s">
        <v>88</v>
      </c>
      <c r="B37" s="100" t="str">
        <f aca="false">IFERROR(INDEX(재무상태표!$B:$B,MATCH($I37,재무상태표!$G:$G,0)),0)</f>
        <v>47,784,000</v>
      </c>
      <c r="C37" s="85" t="n">
        <f aca="false">IFERROR(INDEX(재무상태표!$C:$C,MATCH($I37,재무상태표!$G:$G,0)),0)</f>
        <v>0</v>
      </c>
      <c r="D37" s="102"/>
      <c r="E37" s="100" t="str">
        <f aca="false">IFERROR(INDEX(재무상태표!$D:$D,MATCH($I37,재무상태표!$G:$G,0)),0)</f>
        <v>47,784,000</v>
      </c>
      <c r="F37" s="85" t="n">
        <f aca="false">IFERROR(INDEX(재무상태표!$E:$E,MATCH($I37,재무상태표!$G:$G,0)),0)</f>
        <v>0</v>
      </c>
      <c r="G37" s="87" t="n">
        <f aca="false">C37-F37</f>
        <v>0</v>
      </c>
      <c r="H37" s="88" t="str">
        <f aca="false">SUBSTITUTE(A37," ","")</f>
        <v>기계장치</v>
      </c>
      <c r="I37" s="88" t="str">
        <f aca="false">H37&amp;"|"&amp;COUNTIF($H$9:H37,H37)</f>
        <v>기계장치|1</v>
      </c>
      <c r="J37" s="89" t="str">
        <f aca="false">IF($A37="","",IF(ISNUMBER(MATCH($I37,재무상태표!$G:$G,0)),"✓ 일치","⚠ 확인필요"))</f>
        <v>✓ 일치</v>
      </c>
      <c r="K37" s="90" t="str">
        <f aca="false">IFERROR(IF(F37=0,"",(C37-F37)/ABS(F37)),"")</f>
        <v/>
      </c>
    </row>
    <row r="38" customFormat="false" ht="17.25" hidden="false" customHeight="true" outlineLevel="0" collapsed="false">
      <c r="A38" s="84" t="s">
        <v>87</v>
      </c>
      <c r="B38" s="100" t="str">
        <f aca="false">IFERROR(INDEX(재무상태표!$B:$B,MATCH($I38,재무상태표!$G:$G,0)),0)</f>
        <v>47,775,000</v>
      </c>
      <c r="C38" s="100" t="str">
        <f aca="false">IFERROR(INDEX(재무상태표!$C:$C,MATCH($I38,재무상태표!$G:$G,0)),0)</f>
        <v>9,000</v>
      </c>
      <c r="D38" s="102"/>
      <c r="E38" s="100" t="str">
        <f aca="false">IFERROR(INDEX(재무상태표!$D:$D,MATCH($I38,재무상태표!$G:$G,0)),0)</f>
        <v>47,775,000</v>
      </c>
      <c r="F38" s="100" t="str">
        <f aca="false">IFERROR(INDEX(재무상태표!$E:$E,MATCH($I38,재무상태표!$G:$G,0)),0)</f>
        <v>9,000</v>
      </c>
      <c r="G38" s="87" t="n">
        <f aca="false">C38-F38</f>
        <v>0</v>
      </c>
      <c r="H38" s="88" t="str">
        <f aca="false">SUBSTITUTE(A38," ","")</f>
        <v>감가상각누계액</v>
      </c>
      <c r="I38" s="88" t="str">
        <f aca="false">H38&amp;"|"&amp;COUNTIF($H$9:H38,H38)</f>
        <v>감가상각누계액|2</v>
      </c>
      <c r="J38" s="89" t="str">
        <f aca="false">IF($A38="","",IF(ISNUMBER(MATCH($I38,재무상태표!$G:$G,0)),"✓ 일치","⚠ 확인필요"))</f>
        <v>✓ 일치</v>
      </c>
      <c r="K38" s="90" t="n">
        <f aca="false">IFERROR(IF(F38=0,"",(C38-F38)/ABS(F38)),"")</f>
        <v>0</v>
      </c>
    </row>
    <row r="39" customFormat="false" ht="17.25" hidden="false" customHeight="true" outlineLevel="0" collapsed="false">
      <c r="A39" s="84" t="s">
        <v>89</v>
      </c>
      <c r="B39" s="100" t="str">
        <f aca="false">IFERROR(INDEX(재무상태표!$B:$B,MATCH($I39,재무상태표!$G:$G,0)),0)</f>
        <v>921,090,734</v>
      </c>
      <c r="C39" s="85" t="n">
        <f aca="false">IFERROR(INDEX(재무상태표!$C:$C,MATCH($I39,재무상태표!$G:$G,0)),0)</f>
        <v>0</v>
      </c>
      <c r="D39" s="102"/>
      <c r="E39" s="100" t="str">
        <f aca="false">IFERROR(INDEX(재무상태표!$D:$D,MATCH($I39,재무상태표!$G:$G,0)),0)</f>
        <v>899,846,520</v>
      </c>
      <c r="F39" s="85" t="n">
        <f aca="false">IFERROR(INDEX(재무상태표!$E:$E,MATCH($I39,재무상태표!$G:$G,0)),0)</f>
        <v>0</v>
      </c>
      <c r="G39" s="87" t="n">
        <f aca="false">C39-F39</f>
        <v>0</v>
      </c>
      <c r="H39" s="88" t="str">
        <f aca="false">SUBSTITUTE(A39," ","")</f>
        <v>차량운반구</v>
      </c>
      <c r="I39" s="88" t="str">
        <f aca="false">H39&amp;"|"&amp;COUNTIF($H$9:H39,H39)</f>
        <v>차량운반구|1</v>
      </c>
      <c r="J39" s="89" t="str">
        <f aca="false">IF($A39="","",IF(ISNUMBER(MATCH($I39,재무상태표!$G:$G,0)),"✓ 일치","⚠ 확인필요"))</f>
        <v>✓ 일치</v>
      </c>
      <c r="K39" s="90" t="str">
        <f aca="false">IFERROR(IF(F39=0,"",(C39-F39)/ABS(F39)),"")</f>
        <v/>
      </c>
    </row>
    <row r="40" customFormat="false" ht="17.25" hidden="false" customHeight="true" outlineLevel="0" collapsed="false">
      <c r="A40" s="84" t="s">
        <v>87</v>
      </c>
      <c r="B40" s="100" t="str">
        <f aca="false">IFERROR(INDEX(재무상태표!$B:$B,MATCH($I40,재무상태표!$G:$G,0)),0)</f>
        <v>716,785,731</v>
      </c>
      <c r="C40" s="100" t="str">
        <f aca="false">IFERROR(INDEX(재무상태표!$C:$C,MATCH($I40,재무상태표!$G:$G,0)),0)</f>
        <v>204,305,003</v>
      </c>
      <c r="D40" s="102"/>
      <c r="E40" s="100" t="str">
        <f aca="false">IFERROR(INDEX(재무상태표!$D:$D,MATCH($I40,재무상태표!$G:$G,0)),0)</f>
        <v>723,464,949</v>
      </c>
      <c r="F40" s="100" t="str">
        <f aca="false">IFERROR(INDEX(재무상태표!$E:$E,MATCH($I40,재무상태표!$G:$G,0)),0)</f>
        <v>176,381,571</v>
      </c>
      <c r="G40" s="87" t="n">
        <f aca="false">C40-F40</f>
        <v>27923432</v>
      </c>
      <c r="H40" s="88" t="str">
        <f aca="false">SUBSTITUTE(A40," ","")</f>
        <v>감가상각누계액</v>
      </c>
      <c r="I40" s="88" t="str">
        <f aca="false">H40&amp;"|"&amp;COUNTIF($H$9:H40,H40)</f>
        <v>감가상각누계액|3</v>
      </c>
      <c r="J40" s="89" t="str">
        <f aca="false">IF($A40="","",IF(ISNUMBER(MATCH($I40,재무상태표!$G:$G,0)),"✓ 일치","⚠ 확인필요"))</f>
        <v>✓ 일치</v>
      </c>
      <c r="K40" s="90" t="n">
        <f aca="false">IFERROR(IF(F40=0,"",(C40-F40)/ABS(F40)),"")</f>
        <v>0.158312639136205</v>
      </c>
    </row>
    <row r="41" customFormat="false" ht="17.25" hidden="false" customHeight="true" outlineLevel="0" collapsed="false">
      <c r="A41" s="84" t="s">
        <v>90</v>
      </c>
      <c r="B41" s="100" t="str">
        <f aca="false">IFERROR(INDEX(재무상태표!$B:$B,MATCH($I41,재무상태표!$G:$G,0)),0)</f>
        <v>223,445,463</v>
      </c>
      <c r="C41" s="85" t="n">
        <f aca="false">IFERROR(INDEX(재무상태표!$C:$C,MATCH($I41,재무상태표!$G:$G,0)),0)</f>
        <v>0</v>
      </c>
      <c r="D41" s="102"/>
      <c r="E41" s="100" t="str">
        <f aca="false">IFERROR(INDEX(재무상태표!$D:$D,MATCH($I41,재무상태표!$G:$G,0)),0)</f>
        <v>223,445,463</v>
      </c>
      <c r="F41" s="85" t="n">
        <f aca="false">IFERROR(INDEX(재무상태표!$E:$E,MATCH($I41,재무상태표!$G:$G,0)),0)</f>
        <v>0</v>
      </c>
      <c r="G41" s="87" t="n">
        <f aca="false">C41-F41</f>
        <v>0</v>
      </c>
      <c r="H41" s="88" t="str">
        <f aca="false">SUBSTITUTE(A41," ","")</f>
        <v>비품</v>
      </c>
      <c r="I41" s="88" t="str">
        <f aca="false">H41&amp;"|"&amp;COUNTIF($H$9:H41,H41)</f>
        <v>비품|1</v>
      </c>
      <c r="J41" s="89" t="str">
        <f aca="false">IF($A41="","",IF(ISNUMBER(MATCH($I41,재무상태표!$G:$G,0)),"✓ 일치","⚠ 확인필요"))</f>
        <v>✓ 일치</v>
      </c>
      <c r="K41" s="90" t="str">
        <f aca="false">IFERROR(IF(F41=0,"",(C41-F41)/ABS(F41)),"")</f>
        <v/>
      </c>
    </row>
    <row r="42" customFormat="false" ht="17.25" hidden="false" customHeight="true" outlineLevel="0" collapsed="false">
      <c r="A42" s="84" t="s">
        <v>87</v>
      </c>
      <c r="B42" s="100" t="str">
        <f aca="false">IFERROR(INDEX(재무상태표!$B:$B,MATCH($I42,재무상태표!$G:$G,0)),0)</f>
        <v>218,670,612</v>
      </c>
      <c r="C42" s="100" t="str">
        <f aca="false">IFERROR(INDEX(재무상태표!$C:$C,MATCH($I42,재무상태표!$G:$G,0)),0)</f>
        <v>4,774,851</v>
      </c>
      <c r="D42" s="102"/>
      <c r="E42" s="100" t="str">
        <f aca="false">IFERROR(INDEX(재무상태표!$D:$D,MATCH($I42,재무상태표!$G:$G,0)),0)</f>
        <v>217,293,182</v>
      </c>
      <c r="F42" s="100" t="str">
        <f aca="false">IFERROR(INDEX(재무상태표!$E:$E,MATCH($I42,재무상태표!$G:$G,0)),0)</f>
        <v>6,152,281</v>
      </c>
      <c r="G42" s="87" t="n">
        <f aca="false">C42-F42</f>
        <v>-1377430</v>
      </c>
      <c r="H42" s="88" t="str">
        <f aca="false">SUBSTITUTE(A42," ","")</f>
        <v>감가상각누계액</v>
      </c>
      <c r="I42" s="88" t="str">
        <f aca="false">H42&amp;"|"&amp;COUNTIF($H$9:H42,H42)</f>
        <v>감가상각누계액|4</v>
      </c>
      <c r="J42" s="89" t="str">
        <f aca="false">IF($A42="","",IF(ISNUMBER(MATCH($I42,재무상태표!$G:$G,0)),"✓ 일치","⚠ 확인필요"))</f>
        <v>✓ 일치</v>
      </c>
      <c r="K42" s="90" t="n">
        <f aca="false">IFERROR(IF(F42=0,"",(C42-F42)/ABS(F42)),"")</f>
        <v>-0.223889318449531</v>
      </c>
    </row>
    <row r="43" customFormat="false" ht="17.25" hidden="false" customHeight="true" outlineLevel="0" collapsed="false">
      <c r="A43" s="99" t="s">
        <v>91</v>
      </c>
      <c r="B43" s="85" t="n">
        <f aca="false">IFERROR(INDEX(재무상태표!$B:$B,MATCH($I43,재무상태표!$G:$G,0)),0)</f>
        <v>0</v>
      </c>
      <c r="C43" s="85" t="n">
        <f aca="false">IFERROR(INDEX(재무상태표!$C:$C,MATCH($I43,재무상태표!$G:$G,0)),0)</f>
        <v>0</v>
      </c>
      <c r="D43" s="102"/>
      <c r="E43" s="85" t="n">
        <f aca="false">IFERROR(INDEX(재무상태표!$D:$D,MATCH($I43,재무상태표!$G:$G,0)),0)</f>
        <v>0</v>
      </c>
      <c r="F43" s="85" t="n">
        <f aca="false">IFERROR(INDEX(재무상태표!$E:$E,MATCH($I43,재무상태표!$G:$G,0)),0)</f>
        <v>0</v>
      </c>
      <c r="G43" s="87" t="n">
        <f aca="false">C43-F43</f>
        <v>0</v>
      </c>
      <c r="H43" s="88" t="str">
        <f aca="false">SUBSTITUTE(A43," ","")</f>
        <v>(3)무형자산</v>
      </c>
      <c r="I43" s="88" t="str">
        <f aca="false">H43&amp;"|"&amp;COUNTIF($H$9:H43,H43)</f>
        <v>(3)무형자산|1</v>
      </c>
      <c r="J43" s="89" t="str">
        <f aca="false">IF($A43="","",IF(ISNUMBER(MATCH($I43,재무상태표!$G:$G,0)),"✓ 일치","⚠ 확인필요"))</f>
        <v>✓ 일치</v>
      </c>
      <c r="K43" s="90" t="str">
        <f aca="false">IFERROR(IF(F43=0,"",(C43-F43)/ABS(F43)),"")</f>
        <v/>
      </c>
    </row>
    <row r="44" customFormat="false" ht="17.25" hidden="false" customHeight="true" outlineLevel="0" collapsed="false">
      <c r="A44" s="99" t="s">
        <v>92</v>
      </c>
      <c r="B44" s="85" t="n">
        <f aca="false">IFERROR(INDEX(재무상태표!$B:$B,MATCH($I44,재무상태표!$G:$G,0)),0)</f>
        <v>0</v>
      </c>
      <c r="C44" s="100" t="str">
        <f aca="false">IFERROR(INDEX(재무상태표!$C:$C,MATCH($I44,재무상태표!$G:$G,0)),0)</f>
        <v>668,695,860</v>
      </c>
      <c r="D44" s="102"/>
      <c r="E44" s="85" t="n">
        <f aca="false">IFERROR(INDEX(재무상태표!$D:$D,MATCH($I44,재무상태표!$G:$G,0)),0)</f>
        <v>0</v>
      </c>
      <c r="F44" s="100" t="str">
        <f aca="false">IFERROR(INDEX(재무상태표!$E:$E,MATCH($I44,재무상태표!$G:$G,0)),0)</f>
        <v>668,695,860</v>
      </c>
      <c r="G44" s="87" t="n">
        <f aca="false">C44-F44</f>
        <v>0</v>
      </c>
      <c r="H44" s="88" t="str">
        <f aca="false">SUBSTITUTE(A44," ","")</f>
        <v>(4)기타비유동자산</v>
      </c>
      <c r="I44" s="88" t="str">
        <f aca="false">H44&amp;"|"&amp;COUNTIF($H$9:H44,H44)</f>
        <v>(4)기타비유동자산|1</v>
      </c>
      <c r="J44" s="89" t="str">
        <f aca="false">IF($A44="","",IF(ISNUMBER(MATCH($I44,재무상태표!$G:$G,0)),"✓ 일치","⚠ 확인필요"))</f>
        <v>✓ 일치</v>
      </c>
      <c r="K44" s="90" t="n">
        <f aca="false">IFERROR(IF(F44=0,"",(C44-F44)/ABS(F44)),"")</f>
        <v>0</v>
      </c>
    </row>
    <row r="45" customFormat="false" ht="21.75" hidden="false" customHeight="true" outlineLevel="0" collapsed="false">
      <c r="A45" s="84" t="s">
        <v>93</v>
      </c>
      <c r="B45" s="85" t="n">
        <f aca="false">IFERROR(INDEX(재무상태표!$B:$B,MATCH($I45,재무상태표!$G:$G,0)),0)</f>
        <v>0</v>
      </c>
      <c r="C45" s="85" t="n">
        <f aca="false">IFERROR(INDEX(재무상태표!$C:$C,MATCH($I45,재무상태표!$G:$G,0)),0)</f>
        <v>0</v>
      </c>
      <c r="D45" s="102"/>
      <c r="E45" s="85" t="n">
        <f aca="false">IFERROR(INDEX(재무상태표!$D:$D,MATCH($I45,재무상태표!$G:$G,0)),0)</f>
        <v>0</v>
      </c>
      <c r="F45" s="85" t="n">
        <f aca="false">IFERROR(INDEX(재무상태표!$E:$E,MATCH($I45,재무상태표!$G:$G,0)),0)</f>
        <v>0</v>
      </c>
      <c r="G45" s="87" t="n">
        <f aca="false">C45-F45</f>
        <v>0</v>
      </c>
      <c r="H45" s="88" t="str">
        <f aca="false">SUBSTITUTE(A45," ","")</f>
        <v>장기외상매출금</v>
      </c>
      <c r="I45" s="88" t="str">
        <f aca="false">H45&amp;"|"&amp;COUNTIF($H$9:H45,H45)</f>
        <v>장기외상매출금|1</v>
      </c>
      <c r="J45" s="89" t="str">
        <f aca="false">IF($A45="","",IF(ISNUMBER(MATCH($I45,재무상태표!$G:$G,0)),"✓ 일치","⚠ 확인필요"))</f>
        <v>⚠ 확인필요</v>
      </c>
      <c r="K45" s="90" t="str">
        <f aca="false">IFERROR(IF(F45=0,"",(C45-F45)/ABS(F45)),"")</f>
        <v/>
      </c>
    </row>
    <row r="46" customFormat="false" ht="21.75" hidden="false" customHeight="true" outlineLevel="0" collapsed="false">
      <c r="A46" s="84" t="s">
        <v>63</v>
      </c>
      <c r="B46" s="85" t="n">
        <f aca="false">IFERROR(INDEX(재무상태표!$B:$B,MATCH($I46,재무상태표!$G:$G,0)),0)</f>
        <v>0</v>
      </c>
      <c r="C46" s="85" t="n">
        <f aca="false">IFERROR(INDEX(재무상태표!$C:$C,MATCH($I46,재무상태표!$G:$G,0)),0)</f>
        <v>0</v>
      </c>
      <c r="D46" s="102"/>
      <c r="E46" s="85" t="n">
        <f aca="false">IFERROR(INDEX(재무상태표!$D:$D,MATCH($I46,재무상태표!$G:$G,0)),0)</f>
        <v>0</v>
      </c>
      <c r="F46" s="85" t="n">
        <f aca="false">IFERROR(INDEX(재무상태표!$E:$E,MATCH($I46,재무상태표!$G:$G,0)),0)</f>
        <v>0</v>
      </c>
      <c r="G46" s="87" t="n">
        <f aca="false">C46-F46</f>
        <v>0</v>
      </c>
      <c r="H46" s="88" t="str">
        <f aca="false">SUBSTITUTE(A46," ","")</f>
        <v>대손충당금</v>
      </c>
      <c r="I46" s="88" t="str">
        <f aca="false">H46&amp;"|"&amp;COUNTIF($H$9:H46,H46)</f>
        <v>대손충당금|3</v>
      </c>
      <c r="J46" s="89" t="str">
        <f aca="false">IF($A46="","",IF(ISNUMBER(MATCH($I46,재무상태표!$G:$G,0)),"✓ 일치","⚠ 확인필요"))</f>
        <v>⚠ 확인필요</v>
      </c>
      <c r="K46" s="90" t="str">
        <f aca="false">IFERROR(IF(F46=0,"",(C46-F46)/ABS(F46)),"")</f>
        <v/>
      </c>
    </row>
    <row r="47" customFormat="false" ht="25.5" hidden="false" customHeight="true" outlineLevel="0" collapsed="false">
      <c r="A47" s="84" t="s">
        <v>94</v>
      </c>
      <c r="B47" s="85" t="n">
        <f aca="false">IFERROR(INDEX(재무상태표!$B:$B,MATCH($I47,재무상태표!$G:$G,0)),0)</f>
        <v>0</v>
      </c>
      <c r="C47" s="100" t="str">
        <f aca="false">IFERROR(INDEX(재무상태표!$C:$C,MATCH($I47,재무상태표!$G:$G,0)),0)</f>
        <v>140,000,000</v>
      </c>
      <c r="D47" s="102" t="s">
        <v>95</v>
      </c>
      <c r="E47" s="85" t="n">
        <f aca="false">IFERROR(INDEX(재무상태표!$D:$D,MATCH($I47,재무상태표!$G:$G,0)),0)</f>
        <v>0</v>
      </c>
      <c r="F47" s="100" t="str">
        <f aca="false">IFERROR(INDEX(재무상태표!$E:$E,MATCH($I47,재무상태표!$G:$G,0)),0)</f>
        <v>140,000,000</v>
      </c>
      <c r="G47" s="87" t="n">
        <f aca="false">C47-F47</f>
        <v>0</v>
      </c>
      <c r="H47" s="88" t="str">
        <f aca="false">SUBSTITUTE(A47," ","")</f>
        <v>임차보증금</v>
      </c>
      <c r="I47" s="88" t="str">
        <f aca="false">H47&amp;"|"&amp;COUNTIF($H$9:H47,H47)</f>
        <v>임차보증금|1</v>
      </c>
      <c r="J47" s="89" t="str">
        <f aca="false">IF($A47="","",IF(ISNUMBER(MATCH($I47,재무상태표!$G:$G,0)),"✓ 일치","⚠ 확인필요"))</f>
        <v>✓ 일치</v>
      </c>
      <c r="K47" s="90" t="n">
        <f aca="false">IFERROR(IF(F47=0,"",(C47-F47)/ABS(F47)),"")</f>
        <v>0</v>
      </c>
    </row>
    <row r="48" customFormat="false" ht="21.75" hidden="false" customHeight="true" outlineLevel="0" collapsed="false">
      <c r="A48" s="84" t="s">
        <v>96</v>
      </c>
      <c r="B48" s="85" t="n">
        <f aca="false">IFERROR(INDEX(재무상태표!$B:$B,MATCH($I48,재무상태표!$G:$G,0)),0)</f>
        <v>0</v>
      </c>
      <c r="C48" s="100" t="str">
        <f aca="false">IFERROR(INDEX(재무상태표!$C:$C,MATCH($I48,재무상태표!$G:$G,0)),0)</f>
        <v>528,095,860</v>
      </c>
      <c r="D48" s="102" t="s">
        <v>97</v>
      </c>
      <c r="E48" s="85" t="n">
        <f aca="false">IFERROR(INDEX(재무상태표!$D:$D,MATCH($I48,재무상태표!$G:$G,0)),0)</f>
        <v>0</v>
      </c>
      <c r="F48" s="100" t="str">
        <f aca="false">IFERROR(INDEX(재무상태표!$E:$E,MATCH($I48,재무상태표!$G:$G,0)),0)</f>
        <v>528,095,860</v>
      </c>
      <c r="G48" s="87" t="n">
        <f aca="false">C48-F48</f>
        <v>0</v>
      </c>
      <c r="H48" s="88" t="str">
        <f aca="false">SUBSTITUTE(A48," ","")</f>
        <v>기타보증금</v>
      </c>
      <c r="I48" s="88" t="str">
        <f aca="false">H48&amp;"|"&amp;COUNTIF($H$9:H48,H48)</f>
        <v>기타보증금|1</v>
      </c>
      <c r="J48" s="89" t="str">
        <f aca="false">IF($A48="","",IF(ISNUMBER(MATCH($I48,재무상태표!$G:$G,0)),"✓ 일치","⚠ 확인필요"))</f>
        <v>✓ 일치</v>
      </c>
      <c r="K48" s="90" t="n">
        <f aca="false">IFERROR(IF(F48=0,"",(C48-F48)/ABS(F48)),"")</f>
        <v>0</v>
      </c>
    </row>
    <row r="49" customFormat="false" ht="21.75" hidden="false" customHeight="true" outlineLevel="0" collapsed="false">
      <c r="A49" s="84" t="s">
        <v>98</v>
      </c>
      <c r="B49" s="85" t="n">
        <f aca="false">IFERROR(INDEX(재무상태표!$B:$B,MATCH($I49,재무상태표!$G:$G,0)),0)</f>
        <v>0</v>
      </c>
      <c r="C49" s="100" t="str">
        <f aca="false">IFERROR(INDEX(재무상태표!$C:$C,MATCH($I49,재무상태표!$G:$G,0)),0)</f>
        <v>600,000</v>
      </c>
      <c r="D49" s="102"/>
      <c r="E49" s="85" t="n">
        <f aca="false">IFERROR(INDEX(재무상태표!$D:$D,MATCH($I49,재무상태표!$G:$G,0)),0)</f>
        <v>0</v>
      </c>
      <c r="F49" s="100" t="str">
        <f aca="false">IFERROR(INDEX(재무상태표!$E:$E,MATCH($I49,재무상태표!$G:$G,0)),0)</f>
        <v>600,000</v>
      </c>
      <c r="G49" s="87" t="n">
        <f aca="false">C49-F49</f>
        <v>0</v>
      </c>
      <c r="H49" s="88" t="str">
        <f aca="false">SUBSTITUTE(A49," ","")</f>
        <v>전신전화가입권</v>
      </c>
      <c r="I49" s="88" t="str">
        <f aca="false">H49&amp;"|"&amp;COUNTIF($H$9:H49,H49)</f>
        <v>전신전화가입권|1</v>
      </c>
      <c r="J49" s="89" t="str">
        <f aca="false">IF($A49="","",IF(ISNUMBER(MATCH($I49,재무상태표!$G:$G,0)),"✓ 일치","⚠ 확인필요"))</f>
        <v>✓ 일치</v>
      </c>
      <c r="K49" s="90" t="n">
        <f aca="false">IFERROR(IF(F49=0,"",(C49-F49)/ABS(F49)),"")</f>
        <v>0</v>
      </c>
    </row>
    <row r="50" customFormat="false" ht="21.75" hidden="false" customHeight="true" outlineLevel="0" collapsed="false">
      <c r="A50" s="105" t="s">
        <v>99</v>
      </c>
      <c r="B50" s="92" t="n">
        <f aca="false">IFERROR(INDEX(재무상태표!$B:$B,MATCH($I50,재무상태표!$G:$G,0)),0)</f>
        <v>0</v>
      </c>
      <c r="C50" s="93" t="str">
        <f aca="false">IFERROR(INDEX(재무상태표!$C:$C,MATCH($I50,재무상태표!$G:$G,0)),0)</f>
        <v>21,166,883,200</v>
      </c>
      <c r="D50" s="106"/>
      <c r="E50" s="92" t="n">
        <f aca="false">IFERROR(INDEX(재무상태표!$D:$D,MATCH($I50,재무상태표!$G:$G,0)),0)</f>
        <v>0</v>
      </c>
      <c r="F50" s="93" t="str">
        <f aca="false">IFERROR(INDEX(재무상태표!$E:$E,MATCH($I50,재무상태표!$G:$G,0)),0)</f>
        <v>20,642,395,329</v>
      </c>
      <c r="G50" s="95" t="n">
        <f aca="false">C50-F50</f>
        <v>524487871</v>
      </c>
      <c r="H50" s="96" t="str">
        <f aca="false">SUBSTITUTE(A50," ","")</f>
        <v>자산총계</v>
      </c>
      <c r="I50" s="96" t="str">
        <f aca="false">H50&amp;"|"&amp;COUNTIF($H$9:H50,H50)</f>
        <v>자산총계|1</v>
      </c>
      <c r="J50" s="97" t="str">
        <f aca="false">IF($A50="","",IF(ISNUMBER(MATCH($I50,재무상태표!$G:$G,0)),"✓ 일치","⚠ 확인필요"))</f>
        <v>✓ 일치</v>
      </c>
      <c r="K50" s="98" t="n">
        <f aca="false">IFERROR(IF(F50=0,"",(C50-F50)/ABS(F50)),"")</f>
        <v>0.0254082853583935</v>
      </c>
    </row>
    <row r="51" customFormat="false" ht="21.75" hidden="false" customHeight="true" outlineLevel="0" collapsed="false">
      <c r="A51" s="84" t="s">
        <v>100</v>
      </c>
      <c r="B51" s="85"/>
      <c r="C51" s="85"/>
      <c r="D51" s="101"/>
      <c r="E51" s="85"/>
      <c r="F51" s="85"/>
      <c r="G51" s="87"/>
      <c r="H51" s="88" t="str">
        <f aca="false">SUBSTITUTE(A51," ","")</f>
        <v>부채</v>
      </c>
      <c r="I51" s="88" t="str">
        <f aca="false">H51&amp;"|"&amp;COUNTIF($H$9:H51,H51)</f>
        <v>부채|1</v>
      </c>
      <c r="J51" s="89" t="str">
        <f aca="false">IF($A51="","",IF(ISNUMBER(MATCH($I51,재무상태표!$G:$G,0)),"✓ 일치","⚠ 확인필요"))</f>
        <v>✓ 일치</v>
      </c>
      <c r="K51" s="90" t="str">
        <f aca="false">IFERROR(IF(F51=0,"",(C51-F51)/ABS(F51)),"")</f>
        <v/>
      </c>
    </row>
    <row r="52" customFormat="false" ht="21.75" hidden="false" customHeight="true" outlineLevel="0" collapsed="false">
      <c r="A52" s="91" t="s">
        <v>101</v>
      </c>
      <c r="B52" s="92" t="n">
        <f aca="false">IFERROR(INDEX(재무상태표!$B:$B,MATCH($I52,재무상태표!$G:$G,0)),0)</f>
        <v>0</v>
      </c>
      <c r="C52" s="93" t="str">
        <f aca="false">IFERROR(INDEX(재무상태표!$C:$C,MATCH($I52,재무상태표!$G:$G,0)),0)</f>
        <v>2,594,056,539</v>
      </c>
      <c r="D52" s="104"/>
      <c r="E52" s="92" t="n">
        <f aca="false">IFERROR(INDEX(재무상태표!$D:$D,MATCH($I52,재무상태표!$G:$G,0)),0)</f>
        <v>0</v>
      </c>
      <c r="F52" s="93" t="str">
        <f aca="false">IFERROR(INDEX(재무상태표!$E:$E,MATCH($I52,재무상태표!$G:$G,0)),0)</f>
        <v>3,372,146,535</v>
      </c>
      <c r="G52" s="95" t="n">
        <f aca="false">C52-F52</f>
        <v>-778089996</v>
      </c>
      <c r="H52" s="96" t="str">
        <f aca="false">SUBSTITUTE(A52," ","")</f>
        <v>Ⅰ.유동부채</v>
      </c>
      <c r="I52" s="96" t="str">
        <f aca="false">H52&amp;"|"&amp;COUNTIF($H$9:H52,H52)</f>
        <v>Ⅰ.유동부채|1</v>
      </c>
      <c r="J52" s="97" t="str">
        <f aca="false">IF($A52="","",IF(ISNUMBER(MATCH($I52,재무상태표!$G:$G,0)),"✓ 일치","⚠ 확인필요"))</f>
        <v>✓ 일치</v>
      </c>
      <c r="K52" s="98" t="n">
        <f aca="false">IFERROR(IF(F52=0,"",(C52-F52)/ABS(F52)),"")</f>
        <v>-0.230740268230959</v>
      </c>
    </row>
    <row r="53" customFormat="false" ht="21.75" hidden="false" customHeight="true" outlineLevel="0" collapsed="false">
      <c r="A53" s="84" t="s">
        <v>102</v>
      </c>
      <c r="B53" s="85" t="n">
        <f aca="false">IFERROR(INDEX(재무상태표!$B:$B,MATCH($I53,재무상태표!$G:$G,0)),0)</f>
        <v>0</v>
      </c>
      <c r="C53" s="100" t="str">
        <f aca="false">IFERROR(INDEX(재무상태표!$C:$C,MATCH($I53,재무상태표!$G:$G,0)),0)</f>
        <v>2,161,776,540</v>
      </c>
      <c r="D53" s="102"/>
      <c r="E53" s="85" t="n">
        <f aca="false">IFERROR(INDEX(재무상태표!$D:$D,MATCH($I53,재무상태표!$G:$G,0)),0)</f>
        <v>0</v>
      </c>
      <c r="F53" s="100" t="str">
        <f aca="false">IFERROR(INDEX(재무상태표!$E:$E,MATCH($I53,재무상태표!$G:$G,0)),0)</f>
        <v>2,183,714,801</v>
      </c>
      <c r="G53" s="87" t="n">
        <f aca="false">C53-F53</f>
        <v>-21938261</v>
      </c>
      <c r="H53" s="88" t="str">
        <f aca="false">SUBSTITUTE(A53," ","")</f>
        <v>외상매입금</v>
      </c>
      <c r="I53" s="88" t="str">
        <f aca="false">H53&amp;"|"&amp;COUNTIF($H$9:H53,H53)</f>
        <v>외상매입금|1</v>
      </c>
      <c r="J53" s="89" t="str">
        <f aca="false">IF($A53="","",IF(ISNUMBER(MATCH($I53,재무상태표!$G:$G,0)),"✓ 일치","⚠ 확인필요"))</f>
        <v>✓ 일치</v>
      </c>
      <c r="K53" s="90" t="n">
        <f aca="false">IFERROR(IF(F53=0,"",(C53-F53)/ABS(F53)),"")</f>
        <v>-0.010046303203126</v>
      </c>
    </row>
    <row r="54" customFormat="false" ht="21.75" hidden="false" customHeight="true" outlineLevel="0" collapsed="false">
      <c r="A54" s="84" t="s">
        <v>103</v>
      </c>
      <c r="B54" s="85" t="n">
        <f aca="false">IFERROR(INDEX(재무상태표!$B:$B,MATCH($I54,재무상태표!$G:$G,0)),0)</f>
        <v>0</v>
      </c>
      <c r="C54" s="100" t="str">
        <f aca="false">IFERROR(INDEX(재무상태표!$C:$C,MATCH($I54,재무상태표!$G:$G,0)),0)</f>
        <v>149,723,065</v>
      </c>
      <c r="D54" s="102"/>
      <c r="E54" s="85" t="n">
        <f aca="false">IFERROR(INDEX(재무상태표!$D:$D,MATCH($I54,재무상태표!$G:$G,0)),0)</f>
        <v>0</v>
      </c>
      <c r="F54" s="100" t="str">
        <f aca="false">IFERROR(INDEX(재무상태표!$E:$E,MATCH($I54,재무상태표!$G:$G,0)),0)</f>
        <v>189,842,586</v>
      </c>
      <c r="G54" s="87" t="n">
        <f aca="false">C54-F54</f>
        <v>-40119521</v>
      </c>
      <c r="H54" s="88" t="str">
        <f aca="false">SUBSTITUTE(A54," ","")</f>
        <v>미지급금</v>
      </c>
      <c r="I54" s="88" t="str">
        <f aca="false">H54&amp;"|"&amp;COUNTIF($H$9:H54,H54)</f>
        <v>미지급금|1</v>
      </c>
      <c r="J54" s="89" t="str">
        <f aca="false">IF($A54="","",IF(ISNUMBER(MATCH($I54,재무상태표!$G:$G,0)),"✓ 일치","⚠ 확인필요"))</f>
        <v>✓ 일치</v>
      </c>
      <c r="K54" s="90" t="n">
        <f aca="false">IFERROR(IF(F54=0,"",(C54-F54)/ABS(F54)),"")</f>
        <v>-0.211330459857937</v>
      </c>
    </row>
    <row r="55" customFormat="false" ht="21.75" hidden="false" customHeight="true" outlineLevel="0" collapsed="false">
      <c r="A55" s="84" t="s">
        <v>104</v>
      </c>
      <c r="B55" s="85" t="n">
        <f aca="false">IFERROR(INDEX(재무상태표!$B:$B,MATCH($I55,재무상태표!$G:$G,0)),0)</f>
        <v>0</v>
      </c>
      <c r="C55" s="100" t="str">
        <f aca="false">IFERROR(INDEX(재무상태표!$C:$C,MATCH($I55,재무상태표!$G:$G,0)),0)</f>
        <v>26,545,630</v>
      </c>
      <c r="D55" s="101" t="s">
        <v>105</v>
      </c>
      <c r="E55" s="85" t="n">
        <f aca="false">IFERROR(INDEX(재무상태표!$D:$D,MATCH($I55,재무상태표!$G:$G,0)),0)</f>
        <v>0</v>
      </c>
      <c r="F55" s="100" t="str">
        <f aca="false">IFERROR(INDEX(재무상태표!$E:$E,MATCH($I55,재무상태표!$G:$G,0)),0)</f>
        <v>212,932,480</v>
      </c>
      <c r="G55" s="87" t="n">
        <f aca="false">C55-F55</f>
        <v>-186386850</v>
      </c>
      <c r="H55" s="88" t="str">
        <f aca="false">SUBSTITUTE(A55," ","")</f>
        <v>예수금</v>
      </c>
      <c r="I55" s="88" t="str">
        <f aca="false">H55&amp;"|"&amp;COUNTIF($H$9:H55,H55)</f>
        <v>예수금|1</v>
      </c>
      <c r="J55" s="89" t="str">
        <f aca="false">IF($A55="","",IF(ISNUMBER(MATCH($I55,재무상태표!$G:$G,0)),"✓ 일치","⚠ 확인필요"))</f>
        <v>✓ 일치</v>
      </c>
      <c r="K55" s="90" t="n">
        <f aca="false">IFERROR(IF(F55=0,"",(C55-F55)/ABS(F55)),"")</f>
        <v>-0.875333110289233</v>
      </c>
    </row>
    <row r="56" customFormat="false" ht="21.75" hidden="false" customHeight="true" outlineLevel="0" collapsed="false">
      <c r="A56" s="84" t="s">
        <v>106</v>
      </c>
      <c r="B56" s="85" t="n">
        <f aca="false">IFERROR(INDEX(재무상태표!$B:$B,MATCH($I56,재무상태표!$G:$G,0)),0)</f>
        <v>0</v>
      </c>
      <c r="C56" s="100" t="n">
        <f aca="false">IFERROR(INDEX(재무상태표!$C:$C,MATCH($I56,재무상태표!$G:$G,0)),0)</f>
        <v>0</v>
      </c>
      <c r="D56" s="102"/>
      <c r="E56" s="85" t="n">
        <f aca="false">IFERROR(INDEX(재무상태표!$D:$D,MATCH($I56,재무상태표!$G:$G,0)),0)</f>
        <v>0</v>
      </c>
      <c r="F56" s="85" t="n">
        <f aca="false">IFERROR(INDEX(재무상태표!$E:$E,MATCH($I56,재무상태표!$G:$G,0)),0)</f>
        <v>0</v>
      </c>
      <c r="G56" s="87" t="n">
        <f aca="false">C56-F56</f>
        <v>0</v>
      </c>
      <c r="H56" s="88" t="str">
        <f aca="false">SUBSTITUTE(A56," ","")</f>
        <v>부가세예수금</v>
      </c>
      <c r="I56" s="88" t="str">
        <f aca="false">H56&amp;"|"&amp;COUNTIF($H$9:H56,H56)</f>
        <v>부가세예수금|1</v>
      </c>
      <c r="J56" s="89" t="str">
        <f aca="false">IF($A56="","",IF(ISNUMBER(MATCH($I56,재무상태표!$G:$G,0)),"✓ 일치","⚠ 확인필요"))</f>
        <v>⚠ 확인필요</v>
      </c>
      <c r="K56" s="90" t="str">
        <f aca="false">IFERROR(IF(F56=0,"",(C56-F56)/ABS(F56)),"")</f>
        <v/>
      </c>
    </row>
    <row r="57" customFormat="false" ht="21.75" hidden="false" customHeight="true" outlineLevel="0" collapsed="false">
      <c r="A57" s="84" t="s">
        <v>107</v>
      </c>
      <c r="B57" s="85" t="n">
        <f aca="false">IFERROR(INDEX(재무상태표!$B:$B,MATCH($I57,재무상태표!$G:$G,0)),0)</f>
        <v>0</v>
      </c>
      <c r="C57" s="100" t="str">
        <f aca="false">IFERROR(INDEX(재무상태표!$C:$C,MATCH($I57,재무상태표!$G:$G,0)),0)</f>
        <v>40,319,192</v>
      </c>
      <c r="D57" s="102" t="s">
        <v>108</v>
      </c>
      <c r="E57" s="85" t="n">
        <f aca="false">IFERROR(INDEX(재무상태표!$D:$D,MATCH($I57,재무상태표!$G:$G,0)),0)</f>
        <v>0</v>
      </c>
      <c r="F57" s="85" t="n">
        <f aca="false">IFERROR(INDEX(재무상태표!$E:$E,MATCH($I57,재무상태표!$G:$G,0)),0)</f>
        <v>0</v>
      </c>
      <c r="G57" s="87" t="n">
        <f aca="false">C57-F57</f>
        <v>40319192</v>
      </c>
      <c r="H57" s="88" t="str">
        <f aca="false">SUBSTITUTE(A57," ","")</f>
        <v>가수금</v>
      </c>
      <c r="I57" s="88" t="str">
        <f aca="false">H57&amp;"|"&amp;COUNTIF($H$9:H57,H57)</f>
        <v>가수금|1</v>
      </c>
      <c r="J57" s="89" t="str">
        <f aca="false">IF($A57="","",IF(ISNUMBER(MATCH($I57,재무상태표!$G:$G,0)),"✓ 일치","⚠ 확인필요"))</f>
        <v>✓ 일치</v>
      </c>
      <c r="K57" s="90" t="str">
        <f aca="false">IFERROR(IF(F57=0,"",(C57-F57)/ABS(F57)),"")</f>
        <v/>
      </c>
    </row>
    <row r="58" customFormat="false" ht="21.75" hidden="false" customHeight="true" outlineLevel="0" collapsed="false">
      <c r="A58" s="84" t="s">
        <v>109</v>
      </c>
      <c r="B58" s="85" t="n">
        <f aca="false">IFERROR(INDEX(재무상태표!$B:$B,MATCH($I58,재무상태표!$G:$G,0)),0)</f>
        <v>0</v>
      </c>
      <c r="C58" s="100" t="str">
        <f aca="false">IFERROR(INDEX(재무상태표!$C:$C,MATCH($I58,재무상태표!$G:$G,0)),0)</f>
        <v>1,490,000</v>
      </c>
      <c r="D58" s="102"/>
      <c r="E58" s="85" t="n">
        <f aca="false">IFERROR(INDEX(재무상태표!$D:$D,MATCH($I58,재무상태표!$G:$G,0)),0)</f>
        <v>0</v>
      </c>
      <c r="F58" s="100" t="str">
        <f aca="false">IFERROR(INDEX(재무상태표!$E:$E,MATCH($I58,재무상태표!$G:$G,0)),0)</f>
        <v>1,490,000</v>
      </c>
      <c r="G58" s="87" t="n">
        <f aca="false">C58-F58</f>
        <v>0</v>
      </c>
      <c r="H58" s="88" t="str">
        <f aca="false">SUBSTITUTE(A58," ","")</f>
        <v>선수금</v>
      </c>
      <c r="I58" s="88" t="str">
        <f aca="false">H58&amp;"|"&amp;COUNTIF($H$9:H58,H58)</f>
        <v>선수금|1</v>
      </c>
      <c r="J58" s="89" t="str">
        <f aca="false">IF($A58="","",IF(ISNUMBER(MATCH($I58,재무상태표!$G:$G,0)),"✓ 일치","⚠ 확인필요"))</f>
        <v>✓ 일치</v>
      </c>
      <c r="K58" s="90" t="n">
        <f aca="false">IFERROR(IF(F58=0,"",(C58-F58)/ABS(F58)),"")</f>
        <v>0</v>
      </c>
    </row>
    <row r="59" customFormat="false" ht="21.75" hidden="false" customHeight="true" outlineLevel="0" collapsed="false">
      <c r="A59" s="84" t="s">
        <v>110</v>
      </c>
      <c r="B59" s="85" t="n">
        <f aca="false">IFERROR(INDEX(재무상태표!$B:$B,MATCH($I59,재무상태표!$G:$G,0)),0)</f>
        <v>0</v>
      </c>
      <c r="C59" s="100" t="n">
        <f aca="false">IFERROR(INDEX(재무상태표!$C:$C,MATCH($I59,재무상태표!$G:$G,0)),0)</f>
        <v>0</v>
      </c>
      <c r="D59" s="101"/>
      <c r="E59" s="85" t="n">
        <f aca="false">IFERROR(INDEX(재무상태표!$D:$D,MATCH($I59,재무상태표!$G:$G,0)),0)</f>
        <v>0</v>
      </c>
      <c r="F59" s="100" t="str">
        <f aca="false">IFERROR(INDEX(재무상태표!$E:$E,MATCH($I59,재무상태표!$G:$G,0)),0)</f>
        <v>152,398,250</v>
      </c>
      <c r="G59" s="87" t="n">
        <f aca="false">C59-F59</f>
        <v>-152398250</v>
      </c>
      <c r="H59" s="88" t="str">
        <f aca="false">SUBSTITUTE(A59," ","")</f>
        <v>미지급세금</v>
      </c>
      <c r="I59" s="88" t="str">
        <f aca="false">H59&amp;"|"&amp;COUNTIF($H$9:H59,H59)</f>
        <v>미지급세금|1</v>
      </c>
      <c r="J59" s="89" t="str">
        <f aca="false">IF($A59="","",IF(ISNUMBER(MATCH($I59,재무상태표!$G:$G,0)),"✓ 일치","⚠ 확인필요"))</f>
        <v>✓ 일치</v>
      </c>
      <c r="K59" s="90" t="n">
        <f aca="false">IFERROR(IF(F59=0,"",(C59-F59)/ABS(F59)),"")</f>
        <v>-1</v>
      </c>
    </row>
    <row r="60" customFormat="false" ht="21.75" hidden="false" customHeight="true" outlineLevel="0" collapsed="false">
      <c r="A60" s="84" t="s">
        <v>111</v>
      </c>
      <c r="B60" s="85" t="n">
        <f aca="false">IFERROR(INDEX(재무상태표!$B:$B,MATCH($I60,재무상태표!$G:$G,0)),0)</f>
        <v>0</v>
      </c>
      <c r="C60" s="100" t="str">
        <f aca="false">IFERROR(INDEX(재무상태표!$C:$C,MATCH($I60,재무상태표!$G:$G,0)),0)</f>
        <v>214,202,112</v>
      </c>
      <c r="D60" s="102" t="s">
        <v>112</v>
      </c>
      <c r="E60" s="85" t="n">
        <f aca="false">IFERROR(INDEX(재무상태표!$D:$D,MATCH($I60,재무상태표!$G:$G,0)),0)</f>
        <v>0</v>
      </c>
      <c r="F60" s="100" t="str">
        <f aca="false">IFERROR(INDEX(재무상태표!$E:$E,MATCH($I60,재무상태표!$G:$G,0)),0)</f>
        <v>631,768,418</v>
      </c>
      <c r="G60" s="87" t="n">
        <f aca="false">C60-F60</f>
        <v>-417566306</v>
      </c>
      <c r="H60" s="88" t="str">
        <f aca="false">SUBSTITUTE(A60," ","")</f>
        <v>미지급비용</v>
      </c>
      <c r="I60" s="88" t="str">
        <f aca="false">H60&amp;"|"&amp;COUNTIF($H$9:H60,H60)</f>
        <v>미지급비용|1</v>
      </c>
      <c r="J60" s="89" t="str">
        <f aca="false">IF($A60="","",IF(ISNUMBER(MATCH($I60,재무상태표!$G:$G,0)),"✓ 일치","⚠ 확인필요"))</f>
        <v>✓ 일치</v>
      </c>
      <c r="K60" s="90" t="n">
        <f aca="false">IFERROR(IF(F60=0,"",(C60-F60)/ABS(F60)),"")</f>
        <v>-0.660948369850295</v>
      </c>
    </row>
    <row r="61" customFormat="false" ht="21.75" hidden="false" customHeight="true" outlineLevel="0" collapsed="false">
      <c r="A61" s="84" t="s">
        <v>113</v>
      </c>
      <c r="B61" s="85" t="n">
        <f aca="false">IFERROR(INDEX(재무상태표!$B:$B,MATCH($I61,재무상태표!$G:$G,0)),0)</f>
        <v>0</v>
      </c>
      <c r="C61" s="85" t="n">
        <f aca="false">IFERROR(INDEX(재무상태표!$C:$C,MATCH($I61,재무상태표!$G:$G,0)),0)</f>
        <v>0</v>
      </c>
      <c r="D61" s="101"/>
      <c r="E61" s="85" t="n">
        <f aca="false">IFERROR(INDEX(재무상태표!$D:$D,MATCH($I61,재무상태표!$G:$G,0)),0)</f>
        <v>0</v>
      </c>
      <c r="F61" s="85" t="n">
        <f aca="false">IFERROR(INDEX(재무상태표!$E:$E,MATCH($I61,재무상태표!$G:$G,0)),0)</f>
        <v>0</v>
      </c>
      <c r="G61" s="87" t="n">
        <f aca="false">C61-F61</f>
        <v>0</v>
      </c>
      <c r="H61" s="88" t="str">
        <f aca="false">SUBSTITUTE(A61," ","")</f>
        <v>미지급배당금</v>
      </c>
      <c r="I61" s="88" t="str">
        <f aca="false">H61&amp;"|"&amp;COUNTIF($H$9:H61,H61)</f>
        <v>미지급배당금|1</v>
      </c>
      <c r="J61" s="89" t="str">
        <f aca="false">IF($A61="","",IF(ISNUMBER(MATCH($I61,재무상태표!$G:$G,0)),"✓ 일치","⚠ 확인필요"))</f>
        <v>⚠ 확인필요</v>
      </c>
      <c r="K61" s="90" t="str">
        <f aca="false">IFERROR(IF(F61=0,"",(C61-F61)/ABS(F61)),"")</f>
        <v/>
      </c>
    </row>
    <row r="62" customFormat="false" ht="21.75" hidden="false" customHeight="true" outlineLevel="0" collapsed="false">
      <c r="A62" s="91" t="s">
        <v>114</v>
      </c>
      <c r="B62" s="92" t="n">
        <f aca="false">IFERROR(INDEX(재무상태표!$B:$B,MATCH($I62,재무상태표!$G:$G,0)),0)</f>
        <v>0</v>
      </c>
      <c r="C62" s="93" t="str">
        <f aca="false">IFERROR(INDEX(재무상태표!$C:$C,MATCH($I62,재무상태표!$G:$G,0)),0)</f>
        <v>-65,700</v>
      </c>
      <c r="D62" s="106"/>
      <c r="E62" s="92" t="n">
        <f aca="false">IFERROR(INDEX(재무상태표!$D:$D,MATCH($I62,재무상태표!$G:$G,0)),0)</f>
        <v>0</v>
      </c>
      <c r="F62" s="93" t="str">
        <f aca="false">IFERROR(INDEX(재무상태표!$E:$E,MATCH($I62,재무상태표!$G:$G,0)),0)</f>
        <v>174,190,680</v>
      </c>
      <c r="G62" s="95" t="n">
        <f aca="false">C62-F62</f>
        <v>-174256380</v>
      </c>
      <c r="H62" s="96" t="str">
        <f aca="false">SUBSTITUTE(A62," ","")</f>
        <v>Ⅱ.비유동부채</v>
      </c>
      <c r="I62" s="96" t="str">
        <f aca="false">H62&amp;"|"&amp;COUNTIF($H$9:H62,H62)</f>
        <v>Ⅱ.비유동부채|1</v>
      </c>
      <c r="J62" s="97" t="str">
        <f aca="false">IF($A62="","",IF(ISNUMBER(MATCH($I62,재무상태표!$G:$G,0)),"✓ 일치","⚠ 확인필요"))</f>
        <v>✓ 일치</v>
      </c>
      <c r="K62" s="98" t="n">
        <f aca="false">IFERROR(IF(F62=0,"",(C62-F62)/ABS(F62)),"")</f>
        <v>-1.00037717287745</v>
      </c>
    </row>
    <row r="63" customFormat="false" ht="21.75" hidden="false" customHeight="true" outlineLevel="0" collapsed="false">
      <c r="A63" s="84" t="s">
        <v>115</v>
      </c>
      <c r="B63" s="85" t="n">
        <f aca="false">IFERROR(INDEX(재무상태표!$B:$B,MATCH($I63,재무상태표!$G:$G,0)),0)</f>
        <v>0</v>
      </c>
      <c r="C63" s="100" t="n">
        <f aca="false">IFERROR(INDEX(재무상태표!$C:$C,MATCH($I63,재무상태표!$G:$G,0)),0)</f>
        <v>0</v>
      </c>
      <c r="D63" s="102"/>
      <c r="E63" s="85" t="n">
        <f aca="false">IFERROR(INDEX(재무상태표!$D:$D,MATCH($I63,재무상태표!$G:$G,0)),0)</f>
        <v>0</v>
      </c>
      <c r="F63" s="100" t="str">
        <f aca="false">IFERROR(INDEX(재무상태표!$E:$E,MATCH($I63,재무상태표!$G:$G,0)),0)</f>
        <v>174,256,380</v>
      </c>
      <c r="G63" s="87" t="n">
        <f aca="false">C63-F63</f>
        <v>-174256380</v>
      </c>
      <c r="H63" s="88" t="str">
        <f aca="false">SUBSTITUTE(A63," ","")</f>
        <v>퇴직급여충당금</v>
      </c>
      <c r="I63" s="102" t="str">
        <f aca="false">H63&amp;"|"&amp;COUNTIF($H$9:H63,H63)</f>
        <v>퇴직급여충당금|1</v>
      </c>
      <c r="J63" s="89" t="str">
        <f aca="false">IF($A63="","",IF(ISNUMBER(MATCH($I63,재무상태표!$G:$G,0)),"✓ 일치","⚠ 확인필요"))</f>
        <v>✓ 일치</v>
      </c>
      <c r="K63" s="90" t="n">
        <f aca="false">IFERROR(IF(F63=0,"",(C63-F63)/ABS(F63)),"")</f>
        <v>-1</v>
      </c>
    </row>
    <row r="64" customFormat="false" ht="21.75" hidden="false" customHeight="true" outlineLevel="0" collapsed="false">
      <c r="A64" s="84" t="s">
        <v>116</v>
      </c>
      <c r="B64" s="85" t="n">
        <f aca="false">IFERROR(INDEX(재무상태표!$B:$B,MATCH($I64,재무상태표!$G:$G,0)),0)</f>
        <v>0</v>
      </c>
      <c r="C64" s="100" t="str">
        <f aca="false">IFERROR(INDEX(재무상태표!$C:$C,MATCH($I64,재무상태표!$G:$G,0)),0)</f>
        <v>-65,700</v>
      </c>
      <c r="D64" s="102"/>
      <c r="E64" s="85" t="n">
        <f aca="false">IFERROR(INDEX(재무상태표!$D:$D,MATCH($I64,재무상태표!$G:$G,0)),0)</f>
        <v>0</v>
      </c>
      <c r="F64" s="100" t="str">
        <f aca="false">IFERROR(INDEX(재무상태표!$E:$E,MATCH($I64,재무상태표!$G:$G,0)),0)</f>
        <v>-65,700</v>
      </c>
      <c r="G64" s="87" t="n">
        <f aca="false">C64-F64</f>
        <v>0</v>
      </c>
      <c r="H64" s="88" t="str">
        <f aca="false">SUBSTITUTE(A64," ","")</f>
        <v>국민연금전환금</v>
      </c>
      <c r="I64" s="88" t="str">
        <f aca="false">H64&amp;"|"&amp;COUNTIF($H$9:H64,H64)</f>
        <v>국민연금전환금|1</v>
      </c>
      <c r="J64" s="89" t="str">
        <f aca="false">IF($A64="","",IF(ISNUMBER(MATCH($I64,재무상태표!$G:$G,0)),"✓ 일치","⚠ 확인필요"))</f>
        <v>✓ 일치</v>
      </c>
      <c r="K64" s="90" t="n">
        <f aca="false">IFERROR(IF(F64=0,"",(C64-F64)/ABS(F64)),"")</f>
        <v>0</v>
      </c>
    </row>
    <row r="65" customFormat="false" ht="21.75" hidden="false" customHeight="true" outlineLevel="0" collapsed="false">
      <c r="A65" s="105" t="s">
        <v>117</v>
      </c>
      <c r="B65" s="92" t="n">
        <f aca="false">IFERROR(INDEX(재무상태표!$B:$B,MATCH($I65,재무상태표!$G:$G,0)),0)</f>
        <v>0</v>
      </c>
      <c r="C65" s="93" t="str">
        <f aca="false">IFERROR(INDEX(재무상태표!$C:$C,MATCH($I65,재무상태표!$G:$G,0)),0)</f>
        <v>2,593,990,839</v>
      </c>
      <c r="D65" s="106"/>
      <c r="E65" s="92" t="n">
        <f aca="false">IFERROR(INDEX(재무상태표!$D:$D,MATCH($I65,재무상태표!$G:$G,0)),0)</f>
        <v>0</v>
      </c>
      <c r="F65" s="93" t="str">
        <f aca="false">IFERROR(INDEX(재무상태표!$E:$E,MATCH($I65,재무상태표!$G:$G,0)),0)</f>
        <v>3,546,337,215</v>
      </c>
      <c r="G65" s="95" t="n">
        <f aca="false">C65-F65</f>
        <v>-952346376</v>
      </c>
      <c r="H65" s="96" t="str">
        <f aca="false">SUBSTITUTE(A65," ","")</f>
        <v>부채총계</v>
      </c>
      <c r="I65" s="96" t="str">
        <f aca="false">H65&amp;"|"&amp;COUNTIF($H$9:H65,H65)</f>
        <v>부채총계|1</v>
      </c>
      <c r="J65" s="97" t="str">
        <f aca="false">IF($A65="","",IF(ISNUMBER(MATCH($I65,재무상태표!$G:$G,0)),"✓ 일치","⚠ 확인필요"))</f>
        <v>✓ 일치</v>
      </c>
      <c r="K65" s="98" t="n">
        <f aca="false">IFERROR(IF(F65=0,"",(C65-F65)/ABS(F65)),"")</f>
        <v>-0.26854366019448</v>
      </c>
    </row>
    <row r="66" customFormat="false" ht="21.75" hidden="false" customHeight="true" outlineLevel="0" collapsed="false">
      <c r="A66" s="84" t="s">
        <v>118</v>
      </c>
      <c r="B66" s="85"/>
      <c r="C66" s="85"/>
      <c r="D66" s="101"/>
      <c r="E66" s="85"/>
      <c r="F66" s="85"/>
      <c r="G66" s="87"/>
      <c r="H66" s="88" t="str">
        <f aca="false">SUBSTITUTE(A66," ","")</f>
        <v>자본</v>
      </c>
      <c r="I66" s="88" t="str">
        <f aca="false">H66&amp;"|"&amp;COUNTIF($H$9:H66,H66)</f>
        <v>자본|1</v>
      </c>
      <c r="J66" s="89" t="str">
        <f aca="false">IF($A66="","",IF(ISNUMBER(MATCH($I66,재무상태표!$G:$G,0)),"✓ 일치","⚠ 확인필요"))</f>
        <v>✓ 일치</v>
      </c>
      <c r="K66" s="90" t="str">
        <f aca="false">IFERROR(IF(F66=0,"",(C66-F66)/ABS(F66)),"")</f>
        <v/>
      </c>
    </row>
    <row r="67" customFormat="false" ht="21.75" hidden="false" customHeight="true" outlineLevel="0" collapsed="false">
      <c r="A67" s="91" t="s">
        <v>119</v>
      </c>
      <c r="B67" s="92" t="n">
        <f aca="false">IFERROR(INDEX(재무상태표!$B:$B,MATCH($I67,재무상태표!$G:$G,0)),0)</f>
        <v>0</v>
      </c>
      <c r="C67" s="93" t="str">
        <f aca="false">IFERROR(INDEX(재무상태표!$C:$C,MATCH($I67,재무상태표!$G:$G,0)),0)</f>
        <v>712,500,000</v>
      </c>
      <c r="D67" s="104"/>
      <c r="E67" s="92" t="n">
        <f aca="false">IFERROR(INDEX(재무상태표!$D:$D,MATCH($I67,재무상태표!$G:$G,0)),0)</f>
        <v>0</v>
      </c>
      <c r="F67" s="93" t="str">
        <f aca="false">IFERROR(INDEX(재무상태표!$E:$E,MATCH($I67,재무상태표!$G:$G,0)),0)</f>
        <v>712,500,000</v>
      </c>
      <c r="G67" s="95" t="n">
        <f aca="false">C67-F67</f>
        <v>0</v>
      </c>
      <c r="H67" s="96" t="str">
        <f aca="false">SUBSTITUTE(A67," ","")</f>
        <v>Ⅰ.자본금</v>
      </c>
      <c r="I67" s="96" t="str">
        <f aca="false">H67&amp;"|"&amp;COUNTIF($H$9:H67,H67)</f>
        <v>Ⅰ.자본금|1</v>
      </c>
      <c r="J67" s="97" t="str">
        <f aca="false">IF($A67="","",IF(ISNUMBER(MATCH($I67,재무상태표!$G:$G,0)),"✓ 일치","⚠ 확인필요"))</f>
        <v>✓ 일치</v>
      </c>
      <c r="K67" s="98" t="n">
        <f aca="false">IFERROR(IF(F67=0,"",(C67-F67)/ABS(F67)),"")</f>
        <v>0</v>
      </c>
    </row>
    <row r="68" customFormat="false" ht="21.75" hidden="false" customHeight="true" outlineLevel="0" collapsed="false">
      <c r="A68" s="84" t="s">
        <v>120</v>
      </c>
      <c r="B68" s="85" t="n">
        <f aca="false">IFERROR(INDEX(재무상태표!$B:$B,MATCH($I68,재무상태표!$G:$G,0)),0)</f>
        <v>0</v>
      </c>
      <c r="C68" s="100" t="str">
        <f aca="false">IFERROR(INDEX(재무상태표!$C:$C,MATCH($I68,재무상태표!$G:$G,0)),0)</f>
        <v>712,500,000</v>
      </c>
      <c r="D68" s="102"/>
      <c r="E68" s="85" t="n">
        <f aca="false">IFERROR(INDEX(재무상태표!$D:$D,MATCH($I68,재무상태표!$G:$G,0)),0)</f>
        <v>0</v>
      </c>
      <c r="F68" s="100" t="str">
        <f aca="false">IFERROR(INDEX(재무상태표!$E:$E,MATCH($I68,재무상태표!$G:$G,0)),0)</f>
        <v>712,500,000</v>
      </c>
      <c r="G68" s="87" t="n">
        <f aca="false">C68-F68</f>
        <v>0</v>
      </c>
      <c r="H68" s="88" t="str">
        <f aca="false">SUBSTITUTE(A68," ","")</f>
        <v>자본금</v>
      </c>
      <c r="I68" s="88" t="str">
        <f aca="false">H68&amp;"|"&amp;COUNTIF($H$9:H68,H68)</f>
        <v>자본금|1</v>
      </c>
      <c r="J68" s="89" t="str">
        <f aca="false">IF($A68="","",IF(ISNUMBER(MATCH($I68,재무상태표!$G:$G,0)),"✓ 일치","⚠ 확인필요"))</f>
        <v>✓ 일치</v>
      </c>
      <c r="K68" s="90" t="n">
        <f aca="false">IFERROR(IF(F68=0,"",(C68-F68)/ABS(F68)),"")</f>
        <v>0</v>
      </c>
    </row>
    <row r="69" customFormat="false" ht="21.75" hidden="false" customHeight="true" outlineLevel="0" collapsed="false">
      <c r="A69" s="91" t="s">
        <v>121</v>
      </c>
      <c r="B69" s="92" t="n">
        <f aca="false">IFERROR(INDEX(재무상태표!$B:$B,MATCH($I69,재무상태표!$G:$G,0)),0)</f>
        <v>0</v>
      </c>
      <c r="C69" s="93" t="str">
        <f aca="false">IFERROR(INDEX(재무상태표!$C:$C,MATCH($I69,재무상태표!$G:$G,0)),0)</f>
        <v>3,051,482,755</v>
      </c>
      <c r="D69" s="104"/>
      <c r="E69" s="92" t="n">
        <f aca="false">IFERROR(INDEX(재무상태표!$D:$D,MATCH($I69,재무상태표!$G:$G,0)),0)</f>
        <v>0</v>
      </c>
      <c r="F69" s="93" t="str">
        <f aca="false">IFERROR(INDEX(재무상태표!$E:$E,MATCH($I69,재무상태표!$G:$G,0)),0)</f>
        <v>3,051,482,755</v>
      </c>
      <c r="G69" s="95" t="n">
        <f aca="false">C69-F69</f>
        <v>0</v>
      </c>
      <c r="H69" s="96" t="str">
        <f aca="false">SUBSTITUTE(A69," ","")</f>
        <v>Ⅱ.자본잉여금</v>
      </c>
      <c r="I69" s="96" t="str">
        <f aca="false">H69&amp;"|"&amp;COUNTIF($H$9:H69,H69)</f>
        <v>Ⅱ.자본잉여금|1</v>
      </c>
      <c r="J69" s="97" t="str">
        <f aca="false">IF($A69="","",IF(ISNUMBER(MATCH($I69,재무상태표!$G:$G,0)),"✓ 일치","⚠ 확인필요"))</f>
        <v>✓ 일치</v>
      </c>
      <c r="K69" s="98" t="n">
        <f aca="false">IFERROR(IF(F69=0,"",(C69-F69)/ABS(F69)),"")</f>
        <v>0</v>
      </c>
    </row>
    <row r="70" customFormat="false" ht="21.75" hidden="false" customHeight="true" outlineLevel="0" collapsed="false">
      <c r="A70" s="84" t="s">
        <v>122</v>
      </c>
      <c r="B70" s="85" t="n">
        <f aca="false">IFERROR(INDEX(재무상태표!$B:$B,MATCH($I70,재무상태표!$G:$G,0)),0)</f>
        <v>0</v>
      </c>
      <c r="C70" s="100" t="str">
        <f aca="false">IFERROR(INDEX(재무상태표!$C:$C,MATCH($I70,재무상태표!$G:$G,0)),0)</f>
        <v>3,051,482,755</v>
      </c>
      <c r="D70" s="102"/>
      <c r="E70" s="85" t="n">
        <f aca="false">IFERROR(INDEX(재무상태표!$D:$D,MATCH($I70,재무상태표!$G:$G,0)),0)</f>
        <v>0</v>
      </c>
      <c r="F70" s="100" t="str">
        <f aca="false">IFERROR(INDEX(재무상태표!$E:$E,MATCH($I70,재무상태표!$G:$G,0)),0)</f>
        <v>3,051,482,755</v>
      </c>
      <c r="G70" s="87" t="n">
        <f aca="false">C70-F70</f>
        <v>0</v>
      </c>
      <c r="H70" s="88" t="str">
        <f aca="false">SUBSTITUTE(A70," ","")</f>
        <v>주식발행초과금</v>
      </c>
      <c r="I70" s="88" t="str">
        <f aca="false">H70&amp;"|"&amp;COUNTIF($H$9:H70,H70)</f>
        <v>주식발행초과금|1</v>
      </c>
      <c r="J70" s="89" t="str">
        <f aca="false">IF($A70="","",IF(ISNUMBER(MATCH($I70,재무상태표!$G:$G,0)),"✓ 일치","⚠ 확인필요"))</f>
        <v>✓ 일치</v>
      </c>
      <c r="K70" s="90" t="n">
        <f aca="false">IFERROR(IF(F70=0,"",(C70-F70)/ABS(F70)),"")</f>
        <v>0</v>
      </c>
    </row>
    <row r="71" customFormat="false" ht="21.75" hidden="false" customHeight="true" outlineLevel="0" collapsed="false">
      <c r="A71" s="91" t="s">
        <v>123</v>
      </c>
      <c r="B71" s="92" t="n">
        <f aca="false">IFERROR(INDEX(재무상태표!$B:$B,MATCH($I71,재무상태표!$G:$G,0)),0)</f>
        <v>0</v>
      </c>
      <c r="C71" s="92" t="n">
        <f aca="false">IFERROR(INDEX(재무상태표!$C:$C,MATCH($I71,재무상태표!$G:$G,0)),0)</f>
        <v>0</v>
      </c>
      <c r="D71" s="104"/>
      <c r="E71" s="92" t="n">
        <f aca="false">IFERROR(INDEX(재무상태표!$D:$D,MATCH($I71,재무상태표!$G:$G,0)),0)</f>
        <v>0</v>
      </c>
      <c r="F71" s="92" t="n">
        <f aca="false">IFERROR(INDEX(재무상태표!$E:$E,MATCH($I71,재무상태표!$G:$G,0)),0)</f>
        <v>0</v>
      </c>
      <c r="G71" s="95" t="n">
        <f aca="false">C71-F71</f>
        <v>0</v>
      </c>
      <c r="H71" s="96" t="str">
        <f aca="false">SUBSTITUTE(A71," ","")</f>
        <v>Ⅲ.자본조정</v>
      </c>
      <c r="I71" s="96" t="str">
        <f aca="false">H71&amp;"|"&amp;COUNTIF($H$9:H71,H71)</f>
        <v>Ⅲ.자본조정|1</v>
      </c>
      <c r="J71" s="97" t="str">
        <f aca="false">IF($A71="","",IF(ISNUMBER(MATCH($I71,재무상태표!$G:$G,0)),"✓ 일치","⚠ 확인필요"))</f>
        <v>✓ 일치</v>
      </c>
      <c r="K71" s="98" t="str">
        <f aca="false">IFERROR(IF(F71=0,"",(C71-F71)/ABS(F71)),"")</f>
        <v/>
      </c>
    </row>
    <row r="72" customFormat="false" ht="21.75" hidden="false" customHeight="true" outlineLevel="0" collapsed="false">
      <c r="A72" s="91" t="s">
        <v>124</v>
      </c>
      <c r="B72" s="92" t="n">
        <f aca="false">IFERROR(INDEX(재무상태표!$B:$B,MATCH($I72,재무상태표!$G:$G,0)),0)</f>
        <v>0</v>
      </c>
      <c r="C72" s="92" t="n">
        <f aca="false">IFERROR(INDEX(재무상태표!$C:$C,MATCH($I72,재무상태표!$G:$G,0)),0)</f>
        <v>0</v>
      </c>
      <c r="D72" s="104"/>
      <c r="E72" s="92" t="n">
        <f aca="false">IFERROR(INDEX(재무상태표!$D:$D,MATCH($I72,재무상태표!$G:$G,0)),0)</f>
        <v>0</v>
      </c>
      <c r="F72" s="92" t="n">
        <f aca="false">IFERROR(INDEX(재무상태표!$E:$E,MATCH($I72,재무상태표!$G:$G,0)),0)</f>
        <v>0</v>
      </c>
      <c r="G72" s="95" t="n">
        <f aca="false">C72-F72</f>
        <v>0</v>
      </c>
      <c r="H72" s="96" t="str">
        <f aca="false">SUBSTITUTE(A72," ","")</f>
        <v>Ⅳ.기타포괄손익누계액</v>
      </c>
      <c r="I72" s="96" t="str">
        <f aca="false">H72&amp;"|"&amp;COUNTIF($H$9:H72,H72)</f>
        <v>Ⅳ.기타포괄손익누계액|1</v>
      </c>
      <c r="J72" s="97" t="str">
        <f aca="false">IF($A72="","",IF(ISNUMBER(MATCH($I72,재무상태표!$G:$G,0)),"✓ 일치","⚠ 확인필요"))</f>
        <v>✓ 일치</v>
      </c>
      <c r="K72" s="98" t="str">
        <f aca="false">IFERROR(IF(F72=0,"",(C72-F72)/ABS(F72)),"")</f>
        <v/>
      </c>
    </row>
    <row r="73" customFormat="false" ht="21.75" hidden="false" customHeight="true" outlineLevel="0" collapsed="false">
      <c r="A73" s="91" t="s">
        <v>125</v>
      </c>
      <c r="B73" s="92" t="n">
        <f aca="false">IFERROR(INDEX(재무상태표!$B:$B,MATCH($I73,재무상태표!$G:$G,0)),0)</f>
        <v>0</v>
      </c>
      <c r="C73" s="93" t="str">
        <f aca="false">IFERROR(INDEX(재무상태표!$C:$C,MATCH($I73,재무상태표!$G:$G,0)),0)</f>
        <v>14,808,909,606</v>
      </c>
      <c r="D73" s="104"/>
      <c r="E73" s="92" t="n">
        <f aca="false">IFERROR(INDEX(재무상태표!$D:$D,MATCH($I73,재무상태표!$G:$G,0)),0)</f>
        <v>0</v>
      </c>
      <c r="F73" s="93" t="str">
        <f aca="false">IFERROR(INDEX(재무상태표!$E:$E,MATCH($I73,재무상태표!$G:$G,0)),0)</f>
        <v>13,332,075,359</v>
      </c>
      <c r="G73" s="95" t="n">
        <f aca="false">C73-F73</f>
        <v>1476834247</v>
      </c>
      <c r="H73" s="96" t="str">
        <f aca="false">SUBSTITUTE(A73," ","")</f>
        <v>Ⅴ.이익잉여금</v>
      </c>
      <c r="I73" s="96" t="str">
        <f aca="false">H73&amp;"|"&amp;COUNTIF($H$9:H73,H73)</f>
        <v>Ⅴ.이익잉여금|1</v>
      </c>
      <c r="J73" s="97" t="str">
        <f aca="false">IF($A73="","",IF(ISNUMBER(MATCH($I73,재무상태표!$G:$G,0)),"✓ 일치","⚠ 확인필요"))</f>
        <v>✓ 일치</v>
      </c>
      <c r="K73" s="98" t="n">
        <f aca="false">IFERROR(IF(F73=0,"",(C73-F73)/ABS(F73)),"")</f>
        <v>0.110773019746175</v>
      </c>
    </row>
    <row r="74" customFormat="false" ht="21.75" hidden="false" customHeight="true" outlineLevel="0" collapsed="false">
      <c r="A74" s="84" t="s">
        <v>126</v>
      </c>
      <c r="B74" s="85" t="n">
        <f aca="false">IFERROR(INDEX(재무상태표!$B:$B,MATCH($I74,재무상태표!$G:$G,0)),0)</f>
        <v>0</v>
      </c>
      <c r="C74" s="100" t="str">
        <f aca="false">IFERROR(INDEX(재무상태표!$C:$C,MATCH($I74,재무상태표!$G:$G,0)),0)</f>
        <v>66,000,000</v>
      </c>
      <c r="D74" s="102"/>
      <c r="E74" s="85" t="n">
        <f aca="false">IFERROR(INDEX(재무상태표!$D:$D,MATCH($I74,재무상태표!$G:$G,0)),0)</f>
        <v>0</v>
      </c>
      <c r="F74" s="100" t="str">
        <f aca="false">IFERROR(INDEX(재무상태표!$E:$E,MATCH($I74,재무상태표!$G:$G,0)),0)</f>
        <v>46,000,000</v>
      </c>
      <c r="G74" s="87" t="n">
        <f aca="false">C74-F74</f>
        <v>20000000</v>
      </c>
      <c r="H74" s="88" t="str">
        <f aca="false">SUBSTITUTE(A74," ","")</f>
        <v>이익준비금</v>
      </c>
      <c r="I74" s="88" t="str">
        <f aca="false">H74&amp;"|"&amp;COUNTIF($H$9:H74,H74)</f>
        <v>이익준비금|1</v>
      </c>
      <c r="J74" s="89" t="str">
        <f aca="false">IF($A74="","",IF(ISNUMBER(MATCH($I74,재무상태표!$G:$G,0)),"✓ 일치","⚠ 확인필요"))</f>
        <v>✓ 일치</v>
      </c>
      <c r="K74" s="90" t="n">
        <f aca="false">IFERROR(IF(F74=0,"",(C74-F74)/ABS(F74)),"")</f>
        <v>0.434782608695652</v>
      </c>
    </row>
    <row r="75" customFormat="false" ht="21.75" hidden="false" customHeight="true" outlineLevel="0" collapsed="false">
      <c r="A75" s="84" t="s">
        <v>127</v>
      </c>
      <c r="B75" s="85" t="n">
        <f aca="false">IFERROR(INDEX(재무상태표!$B:$B,MATCH($I75,재무상태표!$G:$G,0)),0)</f>
        <v>0</v>
      </c>
      <c r="C75" s="100" t="str">
        <f aca="false">IFERROR(INDEX(재무상태표!$C:$C,MATCH($I75,재무상태표!$G:$G,0)),0)</f>
        <v>14,742,909,606</v>
      </c>
      <c r="D75" s="102"/>
      <c r="E75" s="85" t="n">
        <f aca="false">IFERROR(INDEX(재무상태표!$D:$D,MATCH($I75,재무상태표!$G:$G,0)),0)</f>
        <v>0</v>
      </c>
      <c r="F75" s="100" t="str">
        <f aca="false">IFERROR(INDEX(재무상태표!$E:$E,MATCH($I75,재무상태표!$G:$G,0)),0)</f>
        <v>13,286,075,359</v>
      </c>
      <c r="G75" s="87" t="n">
        <f aca="false">C75-F75</f>
        <v>1456834247</v>
      </c>
      <c r="H75" s="88" t="str">
        <f aca="false">SUBSTITUTE(A75," ","")</f>
        <v>미처분이익잉여금</v>
      </c>
      <c r="I75" s="88" t="str">
        <f aca="false">H75&amp;"|"&amp;COUNTIF($H$9:H75,H75)</f>
        <v>미처분이익잉여금|1</v>
      </c>
      <c r="J75" s="89" t="str">
        <f aca="false">IF($A75="","",IF(ISNUMBER(MATCH($I75,재무상태표!$G:$G,0)),"✓ 일치","⚠ 확인필요"))</f>
        <v>✓ 일치</v>
      </c>
      <c r="K75" s="90" t="n">
        <f aca="false">IFERROR(IF(F75=0,"",(C75-F75)/ABS(F75)),"")</f>
        <v>0.109651210582148</v>
      </c>
    </row>
    <row r="76" customFormat="false" ht="21.75" hidden="false" customHeight="true" outlineLevel="0" collapsed="false">
      <c r="A76" s="99" t="s">
        <v>128</v>
      </c>
      <c r="B76" s="85" t="n">
        <f aca="false">IFERROR(INDEX(재무상태표!$B:$B,MATCH($I76,재무상태표!$G:$G,0)),0)</f>
        <v>0</v>
      </c>
      <c r="C76" s="85" t="n">
        <f aca="false">IFERROR(INDEX(재무상태표!$C:$C,MATCH($I76,재무상태표!$G:$G,0)),0)</f>
        <v>0</v>
      </c>
      <c r="D76" s="102"/>
      <c r="E76" s="85" t="n">
        <f aca="false">IFERROR(INDEX(재무상태표!$D:$D,MATCH($I76,재무상태표!$G:$G,0)),0)</f>
        <v>0</v>
      </c>
      <c r="F76" s="85" t="n">
        <f aca="false">IFERROR(INDEX(재무상태표!$E:$E,MATCH($I76,재무상태표!$G:$G,0)),0)</f>
        <v>0</v>
      </c>
      <c r="G76" s="87" t="n">
        <f aca="false">C76-F76</f>
        <v>0</v>
      </c>
      <c r="H76" s="88" t="str">
        <f aca="false">SUBSTITUTE(A76," ","")</f>
        <v>(당기순이익)</v>
      </c>
      <c r="I76" s="88" t="str">
        <f aca="false">H76&amp;"|"&amp;COUNTIF($H$9:H76,H76)</f>
        <v>(당기순이익)|1</v>
      </c>
      <c r="J76" s="89" t="str">
        <f aca="false">IF($A76="","",IF(ISNUMBER(MATCH($I76,재무상태표!$G:$G,0)),"✓ 일치","⚠ 확인필요"))</f>
        <v>✓ 일치</v>
      </c>
      <c r="K76" s="90" t="str">
        <f aca="false">IFERROR(IF(F76=0,"",(C76-F76)/ABS(F76)),"")</f>
        <v/>
      </c>
    </row>
    <row r="77" customFormat="false" ht="21.75" hidden="false" customHeight="true" outlineLevel="0" collapsed="false">
      <c r="A77" s="84" t="str">
        <f aca="false">"   당기 :     "&amp;TEXT(손익계산서!C48,"#,##0")</f>
        <v>   당기 :     1,676,834,247</v>
      </c>
      <c r="B77" s="85"/>
      <c r="C77" s="85"/>
      <c r="D77" s="102"/>
      <c r="E77" s="85"/>
      <c r="F77" s="85"/>
      <c r="G77" s="87" t="n">
        <f aca="false">C77-F77</f>
        <v>0</v>
      </c>
      <c r="H77" s="88" t="str">
        <f aca="false">SUBSTITUTE(A77," ","")</f>
        <v>당기:1,676,834,247</v>
      </c>
      <c r="I77" s="88" t="str">
        <f aca="false">H77&amp;"|"&amp;COUNTIF($H$9:H77,H77)</f>
        <v>당기:1,676,834,247|1</v>
      </c>
      <c r="J77" s="107"/>
      <c r="K77" s="107"/>
    </row>
    <row r="78" customFormat="false" ht="21.75" hidden="false" customHeight="true" outlineLevel="0" collapsed="false">
      <c r="A78" s="84" t="str">
        <f aca="false">"   전기 :     "&amp;TEXT(손익계산서!E48,"#,##0")</f>
        <v>   전기 :     1,412,482,819</v>
      </c>
      <c r="B78" s="85"/>
      <c r="C78" s="85"/>
      <c r="D78" s="102"/>
      <c r="E78" s="85"/>
      <c r="F78" s="85"/>
      <c r="G78" s="87" t="n">
        <f aca="false">C78-F78</f>
        <v>0</v>
      </c>
      <c r="H78" s="88" t="str">
        <f aca="false">SUBSTITUTE(A78," ","")</f>
        <v>전기:1,412,482,819</v>
      </c>
      <c r="I78" s="88" t="str">
        <f aca="false">H78&amp;"|"&amp;COUNTIF($H$9:H78,H78)</f>
        <v>전기:1,412,482,819|1</v>
      </c>
      <c r="J78" s="107"/>
      <c r="K78" s="107"/>
    </row>
    <row r="79" customFormat="false" ht="21.75" hidden="false" customHeight="true" outlineLevel="0" collapsed="false">
      <c r="A79" s="105" t="s">
        <v>129</v>
      </c>
      <c r="B79" s="92" t="n">
        <f aca="false">IFERROR(INDEX(재무상태표!$B:$B,MATCH($I79,재무상태표!$G:$G,0)),0)</f>
        <v>0</v>
      </c>
      <c r="C79" s="93" t="str">
        <f aca="false">IFERROR(INDEX(재무상태표!$C:$C,MATCH($I79,재무상태표!$G:$G,0)),0)</f>
        <v>18,572,892,361</v>
      </c>
      <c r="D79" s="106"/>
      <c r="E79" s="92" t="n">
        <f aca="false">IFERROR(INDEX(재무상태표!$D:$D,MATCH($I79,재무상태표!$G:$G,0)),0)</f>
        <v>0</v>
      </c>
      <c r="F79" s="93" t="str">
        <f aca="false">IFERROR(INDEX(재무상태표!$E:$E,MATCH($I79,재무상태표!$G:$G,0)),0)</f>
        <v>17,096,058,114</v>
      </c>
      <c r="G79" s="95" t="n">
        <f aca="false">C79-F79</f>
        <v>1476834247</v>
      </c>
      <c r="H79" s="96" t="str">
        <f aca="false">SUBSTITUTE(A79," ","")</f>
        <v>자본총계</v>
      </c>
      <c r="I79" s="96" t="str">
        <f aca="false">H79&amp;"|"&amp;COUNTIF($H$9:H79,H79)</f>
        <v>자본총계|1</v>
      </c>
      <c r="J79" s="97" t="str">
        <f aca="false">IF($A79="","",IF(ISNUMBER(MATCH($I79,재무상태표!$G:$G,0)),"✓ 일치","⚠ 확인필요"))</f>
        <v>✓ 일치</v>
      </c>
      <c r="K79" s="98" t="n">
        <f aca="false">IFERROR(IF(F79=0,"",(C79-F79)/ABS(F79)),"")</f>
        <v>0.0863844891700864</v>
      </c>
    </row>
    <row r="80" customFormat="false" ht="21.75" hidden="false" customHeight="true" outlineLevel="0" collapsed="false">
      <c r="A80" s="105" t="s">
        <v>130</v>
      </c>
      <c r="B80" s="92" t="n">
        <f aca="false">IFERROR(INDEX(재무상태표!$B:$B,MATCH($I80,재무상태표!$G:$G,0)),0)</f>
        <v>0</v>
      </c>
      <c r="C80" s="93" t="str">
        <f aca="false">IFERROR(INDEX(재무상태표!$C:$C,MATCH($I80,재무상태표!$G:$G,0)),0)</f>
        <v>21,166,883,200</v>
      </c>
      <c r="D80" s="106"/>
      <c r="E80" s="92" t="n">
        <f aca="false">IFERROR(INDEX(재무상태표!$D:$D,MATCH($I80,재무상태표!$G:$G,0)),0)</f>
        <v>0</v>
      </c>
      <c r="F80" s="93" t="str">
        <f aca="false">IFERROR(INDEX(재무상태표!$E:$E,MATCH($I80,재무상태표!$G:$G,0)),0)</f>
        <v>20,642,395,329</v>
      </c>
      <c r="G80" s="95" t="n">
        <f aca="false">C80-F80</f>
        <v>524487871</v>
      </c>
      <c r="H80" s="96" t="str">
        <f aca="false">SUBSTITUTE(A80," ","")</f>
        <v>부채및자본총계</v>
      </c>
      <c r="I80" s="96" t="str">
        <f aca="false">H80&amp;"|"&amp;COUNTIF($H$9:H80,H80)</f>
        <v>부채및자본총계|1</v>
      </c>
      <c r="J80" s="97" t="str">
        <f aca="false">IF($A80="","",IF(ISNUMBER(MATCH($I80,재무상태표!$G:$G,0)),"✓ 일치","⚠ 확인필요"))</f>
        <v>✓ 일치</v>
      </c>
      <c r="K80" s="98" t="n">
        <f aca="false">IFERROR(IF(F80=0,"",(C80-F80)/ABS(F80)),"")</f>
        <v>0.0254082853583935</v>
      </c>
    </row>
  </sheetData>
  <mergeCells count="10">
    <mergeCell ref="A1:G1"/>
    <mergeCell ref="A3:G3"/>
    <mergeCell ref="A4:G4"/>
    <mergeCell ref="A7:A8"/>
    <mergeCell ref="B7:C7"/>
    <mergeCell ref="D7:D8"/>
    <mergeCell ref="E7:F7"/>
    <mergeCell ref="G7:G8"/>
    <mergeCell ref="B8:C8"/>
    <mergeCell ref="E8:F8"/>
  </mergeCells>
  <conditionalFormatting sqref="K9:K80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  <cfRule type="expression" priority="4" aboveAverage="0" equalAverage="0" bottom="0" percent="0" rank="0" text="" dxfId="2">
      <formula>ABS($K9)&gt;0.2</formula>
    </cfRule>
  </conditionalFormatting>
  <conditionalFormatting sqref="J9:J80">
    <cfRule type="expression" priority="5" aboveAverage="0" equalAverage="0" bottom="0" percent="0" rank="0" text="" dxfId="3">
      <formula>$J9="✓ 일치"</formula>
    </cfRule>
    <cfRule type="expression" priority="6" aboveAverage="0" equalAverage="0" bottom="0" percent="0" rank="0" text="" dxfId="4">
      <formula>$J9="⚠ 확인필요"</formula>
    </cfRule>
    <cfRule type="expression" priority="7" aboveAverage="0" equalAverage="0" bottom="0" percent="0" rank="0" text="" dxfId="3">
      <formula>$J9="✓ 일치"</formula>
    </cfRule>
    <cfRule type="expression" priority="8" aboveAverage="0" equalAverage="0" bottom="0" percent="0" rank="0" text="" dxfId="4">
      <formula>$J9="⚠ 확인필요"</formula>
    </cfRule>
  </conditionalFormatting>
  <printOptions headings="false" gridLines="false" gridLinesSet="true" horizontalCentered="true" verticalCentered="false"/>
  <pageMargins left="0.39375" right="0.39375" top="0.590277777777778" bottom="0.551388888888889" header="0.511811023622047" footer="0.315277777777778"/>
  <pageSetup paperSize="9" scale="66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&amp;C&amp;P/2</oddFooter>
  </headerFooter>
  <rowBreaks count="1" manualBreakCount="1">
    <brk id="61" man="true" max="16383" min="0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fals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1" activeCellId="0" sqref="G61"/>
    </sheetView>
  </sheetViews>
  <sheetFormatPr defaultColWidth="9.16796875" defaultRowHeight="11.25" zeroHeight="false" outlineLevelRow="0" outlineLevelCol="0"/>
  <cols>
    <col collapsed="false" customWidth="true" hidden="false" outlineLevel="0" max="1" min="1" style="0" width="29.66"/>
    <col collapsed="false" customWidth="true" hidden="false" outlineLevel="0" max="3" min="2" style="0" width="20"/>
    <col collapsed="false" customWidth="true" hidden="false" outlineLevel="0" max="4" min="4" style="0" width="12.5"/>
    <col collapsed="false" customWidth="true" hidden="false" outlineLevel="0" max="6" min="5" style="0" width="20"/>
    <col collapsed="false" customWidth="true" hidden="false" outlineLevel="0" max="7" min="7" style="0" width="13.17"/>
    <col collapsed="false" customWidth="true" hidden="true" outlineLevel="0" max="9" min="8" style="0" width="13"/>
    <col collapsed="false" customWidth="true" hidden="true" outlineLevel="0" max="10" min="10" style="0" width="12"/>
    <col collapsed="false" customWidth="true" hidden="true" outlineLevel="0" max="11" min="11" style="0" width="13"/>
  </cols>
  <sheetData>
    <row r="1" customFormat="false" ht="18" hidden="false" customHeight="true" outlineLevel="0" collapsed="false">
      <c r="A1" s="75" t="s">
        <v>131</v>
      </c>
      <c r="B1" s="75"/>
      <c r="C1" s="75"/>
      <c r="D1" s="75"/>
      <c r="E1" s="75"/>
      <c r="F1" s="75"/>
      <c r="G1" s="75"/>
    </row>
    <row r="2" customFormat="false" ht="6.75" hidden="false" customHeight="true" outlineLevel="0" collapsed="false">
      <c r="A2" s="77"/>
      <c r="B2" s="77"/>
      <c r="C2" s="77"/>
      <c r="D2" s="77"/>
      <c r="E2" s="77"/>
      <c r="F2" s="77"/>
      <c r="G2" s="77"/>
    </row>
    <row r="3" s="5" customFormat="true" ht="15.75" hidden="false" customHeight="true" outlineLevel="0" collapsed="false">
      <c r="A3" s="79" t="str">
        <f aca="false"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- 2026년06월30일</v>
      </c>
      <c r="B3" s="79"/>
      <c r="C3" s="79"/>
      <c r="D3" s="79"/>
      <c r="E3" s="79"/>
      <c r="F3" s="79"/>
      <c r="G3" s="79"/>
    </row>
    <row r="4" s="5" customFormat="true" ht="15.75" hidden="false" customHeight="true" outlineLevel="0" collapsed="false">
      <c r="A4" s="79" t="str">
        <f aca="false"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79"/>
      <c r="C4" s="79"/>
      <c r="D4" s="79"/>
      <c r="E4" s="79"/>
      <c r="F4" s="79"/>
      <c r="G4" s="79"/>
    </row>
    <row r="5" customFormat="false" ht="9" hidden="false" customHeight="true" outlineLevel="0" collapsed="false">
      <c r="C5" s="80"/>
    </row>
    <row r="6" customFormat="false" ht="11.25" hidden="false" customHeight="true" outlineLevel="0" collapsed="false">
      <c r="A6" s="80" t="s">
        <v>45</v>
      </c>
      <c r="G6" s="81" t="s">
        <v>46</v>
      </c>
    </row>
    <row r="7" customFormat="false" ht="15.75" hidden="false" customHeight="true" outlineLevel="0" collapsed="false">
      <c r="A7" s="82" t="s">
        <v>47</v>
      </c>
      <c r="B7" s="82" t="s">
        <v>48</v>
      </c>
      <c r="C7" s="82"/>
      <c r="D7" s="108" t="s">
        <v>132</v>
      </c>
      <c r="E7" s="82" t="s">
        <v>50</v>
      </c>
      <c r="F7" s="82"/>
      <c r="G7" s="108" t="s">
        <v>132</v>
      </c>
      <c r="J7" s="83" t="s">
        <v>52</v>
      </c>
      <c r="K7" s="83" t="s">
        <v>133</v>
      </c>
    </row>
    <row r="8" customFormat="false" ht="15.75" hidden="false" customHeight="true" outlineLevel="0" collapsed="false">
      <c r="A8" s="82"/>
      <c r="B8" s="82" t="s">
        <v>53</v>
      </c>
      <c r="C8" s="82"/>
      <c r="D8" s="108"/>
      <c r="E8" s="82" t="s">
        <v>54</v>
      </c>
      <c r="F8" s="82"/>
      <c r="G8" s="108"/>
    </row>
    <row r="9" customFormat="false" ht="16.5" hidden="false" customHeight="true" outlineLevel="0" collapsed="false">
      <c r="A9" s="91" t="s">
        <v>134</v>
      </c>
      <c r="B9" s="109" t="n">
        <f aca="false">IFERROR(INDEX(손익계산서!$B:$B,MATCH($I9,손익계산서!$G:$G,0)),0)</f>
        <v>0</v>
      </c>
      <c r="C9" s="109" t="n">
        <f aca="false">IFERROR(INDEX(손익계산서!$C:$C,MATCH($I9,손익계산서!$G:$G,0)),0)</f>
        <v>19213322580</v>
      </c>
      <c r="D9" s="110" t="n">
        <f aca="false">C9/C9</f>
        <v>1</v>
      </c>
      <c r="E9" s="109" t="n">
        <f aca="false">IFERROR(INDEX(손익계산서!$D:$D,MATCH($I9,손익계산서!$G:$G,0)),0)</f>
        <v>0</v>
      </c>
      <c r="F9" s="109" t="n">
        <f aca="false">IFERROR(INDEX(손익계산서!$E:$E,MATCH($I9,손익계산서!$G:$G,0)),0)</f>
        <v>35759715334</v>
      </c>
      <c r="G9" s="110" t="n">
        <f aca="false">F9/F9</f>
        <v>1</v>
      </c>
      <c r="H9" s="0" t="str">
        <f aca="false">SUBSTITUTE(A9," ","")</f>
        <v>Ⅰ.매출액</v>
      </c>
      <c r="I9" s="0" t="str">
        <f aca="false">H9&amp;"|"&amp;COUNTIF($H$9:H9,H9)</f>
        <v>Ⅰ.매출액|1</v>
      </c>
      <c r="J9" s="111" t="str">
        <f aca="false">IF($A9="","",IF(ISNUMBER(MATCH($I9,손익계산서!$G:$G,0)),"✓ 일치","⚠ 확인필요"))</f>
        <v>✓ 일치</v>
      </c>
      <c r="K9" s="112" t="n">
        <f aca="false">IFERROR(IF(OR(D9="",G9=""),"",D9-G9),"")</f>
        <v>0</v>
      </c>
    </row>
    <row r="10" customFormat="false" ht="16.5" hidden="false" customHeight="true" outlineLevel="0" collapsed="false">
      <c r="A10" s="84" t="s">
        <v>135</v>
      </c>
      <c r="B10" s="113" t="n">
        <f aca="false">IFERROR(INDEX(손익계산서!$B:$B,MATCH($I10,손익계산서!$G:$G,0)),0)</f>
        <v>19159719722</v>
      </c>
      <c r="C10" s="113" t="n">
        <f aca="false">IFERROR(INDEX(손익계산서!$C:$C,MATCH($I10,손익계산서!$G:$G,0)),0)</f>
        <v>0</v>
      </c>
      <c r="D10" s="114"/>
      <c r="E10" s="113" t="n">
        <f aca="false">IFERROR(INDEX(손익계산서!$D:$D,MATCH($I10,손익계산서!$G:$G,0)),0)</f>
        <v>35616332337</v>
      </c>
      <c r="F10" s="113" t="n">
        <f aca="false">IFERROR(INDEX(손익계산서!$E:$E,MATCH($I10,손익계산서!$G:$G,0)),0)</f>
        <v>0</v>
      </c>
      <c r="G10" s="114"/>
      <c r="H10" s="0" t="str">
        <f aca="false">SUBSTITUTE(A10," ","")</f>
        <v>상품매출</v>
      </c>
      <c r="I10" s="0" t="str">
        <f aca="false">H10&amp;"|"&amp;COUNTIF($H$9:H10,H10)</f>
        <v>상품매출|1</v>
      </c>
      <c r="J10" s="111" t="str">
        <f aca="false">IF($A10="","",IF(ISNUMBER(MATCH($I10,손익계산서!$G:$G,0)),"✓ 일치","⚠ 확인필요"))</f>
        <v>✓ 일치</v>
      </c>
      <c r="K10" s="112" t="str">
        <f aca="false">IFERROR(IF(OR(D10="",G10=""),"",D10-G10),"")</f>
        <v/>
      </c>
    </row>
    <row r="11" customFormat="false" ht="16.5" hidden="false" customHeight="true" outlineLevel="0" collapsed="false">
      <c r="A11" s="84" t="s">
        <v>136</v>
      </c>
      <c r="B11" s="113" t="n">
        <f aca="false">IFERROR(INDEX(손익계산서!$B:$B,MATCH($I11,손익계산서!$G:$G,0)),0)</f>
        <v>53602858</v>
      </c>
      <c r="C11" s="113" t="n">
        <f aca="false">IFERROR(INDEX(손익계산서!$C:$C,MATCH($I11,손익계산서!$G:$G,0)),0)</f>
        <v>0</v>
      </c>
      <c r="D11" s="114"/>
      <c r="E11" s="113" t="n">
        <f aca="false">IFERROR(INDEX(손익계산서!$D:$D,MATCH($I11,손익계산서!$G:$G,0)),0)</f>
        <v>143382997</v>
      </c>
      <c r="F11" s="113" t="n">
        <f aca="false">IFERROR(INDEX(손익계산서!$E:$E,MATCH($I11,손익계산서!$G:$G,0)),0)</f>
        <v>0</v>
      </c>
      <c r="G11" s="114"/>
      <c r="H11" s="0" t="str">
        <f aca="false">SUBSTITUTE(A11," ","")</f>
        <v>상품수출매출</v>
      </c>
      <c r="I11" s="0" t="str">
        <f aca="false">H11&amp;"|"&amp;COUNTIF($H$9:H11,H11)</f>
        <v>상품수출매출|1</v>
      </c>
      <c r="J11" s="111" t="str">
        <f aca="false">IF($A11="","",IF(ISNUMBER(MATCH($I11,손익계산서!$G:$G,0)),"✓ 일치","⚠ 확인필요"))</f>
        <v>✓ 일치</v>
      </c>
      <c r="K11" s="112" t="str">
        <f aca="false">IFERROR(IF(OR(D11="",G11=""),"",D11-G11),"")</f>
        <v/>
      </c>
    </row>
    <row r="12" customFormat="false" ht="16.5" hidden="false" customHeight="true" outlineLevel="0" collapsed="false">
      <c r="A12" s="91" t="s">
        <v>137</v>
      </c>
      <c r="B12" s="109" t="n">
        <f aca="false">IFERROR(INDEX(손익계산서!$B:$B,MATCH($I12,손익계산서!$G:$G,0)),0)</f>
        <v>0</v>
      </c>
      <c r="C12" s="109" t="n">
        <f aca="false">IFERROR(INDEX(손익계산서!$C:$C,MATCH($I12,손익계산서!$G:$G,0)),0)</f>
        <v>15801558966</v>
      </c>
      <c r="D12" s="110" t="n">
        <f aca="false">C12/C9</f>
        <v>0.822427193433401</v>
      </c>
      <c r="E12" s="109" t="n">
        <f aca="false">IFERROR(INDEX(손익계산서!$D:$D,MATCH($I12,손익계산서!$G:$G,0)),0)</f>
        <v>0</v>
      </c>
      <c r="F12" s="109" t="n">
        <f aca="false">IFERROR(INDEX(손익계산서!$E:$E,MATCH($I12,손익계산서!$G:$G,0)),0)</f>
        <v>29846027632</v>
      </c>
      <c r="G12" s="110" t="n">
        <f aca="false">F12/F9</f>
        <v>0.834627103522345</v>
      </c>
      <c r="H12" s="0" t="str">
        <f aca="false">SUBSTITUTE(A12," ","")</f>
        <v>Ⅱ.매출원가</v>
      </c>
      <c r="I12" s="0" t="str">
        <f aca="false">H12&amp;"|"&amp;COUNTIF($H$9:H12,H12)</f>
        <v>Ⅱ.매출원가|1</v>
      </c>
      <c r="J12" s="111" t="str">
        <f aca="false">IF($A12="","",IF(ISNUMBER(MATCH($I12,손익계산서!$G:$G,0)),"✓ 일치","⚠ 확인필요"))</f>
        <v>✓ 일치</v>
      </c>
      <c r="K12" s="112" t="n">
        <f aca="false">IFERROR(IF(OR(D12="",G12=""),"",D12-G12),"")</f>
        <v>-0.0121999100889434</v>
      </c>
    </row>
    <row r="13" customFormat="false" ht="16.5" hidden="false" customHeight="true" outlineLevel="0" collapsed="false">
      <c r="A13" s="84" t="s">
        <v>138</v>
      </c>
      <c r="B13" s="113" t="n">
        <f aca="false">IFERROR(INDEX(손익계산서!$B:$B,MATCH($I13,손익계산서!$G:$G,0)),0)</f>
        <v>0</v>
      </c>
      <c r="C13" s="113" t="n">
        <f aca="false">IFERROR(INDEX(손익계산서!$C:$C,MATCH($I13,손익계산서!$G:$G,0)),0)</f>
        <v>15801558966</v>
      </c>
      <c r="D13" s="114"/>
      <c r="E13" s="113" t="n">
        <f aca="false">IFERROR(INDEX(손익계산서!$D:$D,MATCH($I13,손익계산서!$G:$G,0)),0)</f>
        <v>0</v>
      </c>
      <c r="F13" s="113" t="n">
        <f aca="false">IFERROR(INDEX(손익계산서!$E:$E,MATCH($I13,손익계산서!$G:$G,0)),0)</f>
        <v>29846027632</v>
      </c>
      <c r="G13" s="114"/>
      <c r="H13" s="0" t="str">
        <f aca="false">SUBSTITUTE(A13," ","")</f>
        <v>상품매출원가</v>
      </c>
      <c r="I13" s="0" t="str">
        <f aca="false">H13&amp;"|"&amp;COUNTIF($H$9:H13,H13)</f>
        <v>상품매출원가|1</v>
      </c>
      <c r="J13" s="111" t="str">
        <f aca="false">IF($A13="","",IF(ISNUMBER(MATCH($I13,손익계산서!$G:$G,0)),"✓ 일치","⚠ 확인필요"))</f>
        <v>✓ 일치</v>
      </c>
      <c r="K13" s="112" t="str">
        <f aca="false">IFERROR(IF(OR(D13="",G13=""),"",D13-G13),"")</f>
        <v/>
      </c>
    </row>
    <row r="14" customFormat="false" ht="16.5" hidden="false" customHeight="true" outlineLevel="0" collapsed="false">
      <c r="A14" s="84" t="s">
        <v>139</v>
      </c>
      <c r="B14" s="113" t="n">
        <f aca="false">IFERROR(INDEX(손익계산서!$B:$B,MATCH($I14,손익계산서!$G:$G,0)),0)</f>
        <v>2126111102</v>
      </c>
      <c r="C14" s="113" t="n">
        <f aca="false">IFERROR(INDEX(손익계산서!$C:$C,MATCH($I14,손익계산서!$G:$G,0)),0)</f>
        <v>0</v>
      </c>
      <c r="D14" s="114"/>
      <c r="E14" s="113" t="n">
        <f aca="false">IFERROR(INDEX(손익계산서!$D:$D,MATCH($I14,손익계산서!$G:$G,0)),0)</f>
        <v>2098835763</v>
      </c>
      <c r="F14" s="113" t="n">
        <f aca="false">IFERROR(INDEX(손익계산서!$E:$E,MATCH($I14,손익계산서!$G:$G,0)),0)</f>
        <v>0</v>
      </c>
      <c r="G14" s="114"/>
      <c r="H14" s="0" t="str">
        <f aca="false">SUBSTITUTE(A14," ","")</f>
        <v>기초상품재고액</v>
      </c>
      <c r="I14" s="0" t="str">
        <f aca="false">H14&amp;"|"&amp;COUNTIF($H$9:H14,H14)</f>
        <v>기초상품재고액|1</v>
      </c>
      <c r="J14" s="111" t="str">
        <f aca="false">IF($A14="","",IF(ISNUMBER(MATCH($I14,손익계산서!$G:$G,0)),"✓ 일치","⚠ 확인필요"))</f>
        <v>✓ 일치</v>
      </c>
      <c r="K14" s="112" t="str">
        <f aca="false">IFERROR(IF(OR(D14="",G14=""),"",D14-G14),"")</f>
        <v/>
      </c>
    </row>
    <row r="15" customFormat="false" ht="16.5" hidden="false" customHeight="true" outlineLevel="0" collapsed="false">
      <c r="A15" s="84" t="s">
        <v>140</v>
      </c>
      <c r="B15" s="113" t="n">
        <f aca="false">IFERROR(INDEX(손익계산서!$B:$B,MATCH($I15,손익계산서!$G:$G,0)),0)</f>
        <v>16748178215</v>
      </c>
      <c r="C15" s="113" t="n">
        <f aca="false">IFERROR(INDEX(손익계산서!$C:$C,MATCH($I15,손익계산서!$G:$G,0)),0)</f>
        <v>0</v>
      </c>
      <c r="D15" s="114"/>
      <c r="E15" s="113" t="n">
        <f aca="false">IFERROR(INDEX(손익계산서!$D:$D,MATCH($I15,손익계산서!$G:$G,0)),0)</f>
        <v>30036303143</v>
      </c>
      <c r="F15" s="113" t="n">
        <f aca="false">IFERROR(INDEX(손익계산서!$E:$E,MATCH($I15,손익계산서!$G:$G,0)),0)</f>
        <v>0</v>
      </c>
      <c r="G15" s="114"/>
      <c r="H15" s="0" t="str">
        <f aca="false">SUBSTITUTE(A15," ","")</f>
        <v>당기상품매입액</v>
      </c>
      <c r="I15" s="0" t="str">
        <f aca="false">H15&amp;"|"&amp;COUNTIF($H$9:H15,H15)</f>
        <v>당기상품매입액|1</v>
      </c>
      <c r="J15" s="111" t="str">
        <f aca="false">IF($A15="","",IF(ISNUMBER(MATCH($I15,손익계산서!$G:$G,0)),"✓ 일치","⚠ 확인필요"))</f>
        <v>✓ 일치</v>
      </c>
      <c r="K15" s="112" t="str">
        <f aca="false">IFERROR(IF(OR(D15="",G15=""),"",D15-G15),"")</f>
        <v/>
      </c>
    </row>
    <row r="16" customFormat="false" ht="16.5" hidden="false" customHeight="true" outlineLevel="0" collapsed="false">
      <c r="A16" s="84" t="s">
        <v>141</v>
      </c>
      <c r="B16" s="113" t="n">
        <f aca="false">IFERROR(INDEX(손익계산서!$B:$B,MATCH($I16,손익계산서!$G:$G,0)),0)</f>
        <v>73405868</v>
      </c>
      <c r="C16" s="113" t="n">
        <f aca="false">IFERROR(INDEX(손익계산서!$C:$C,MATCH($I16,손익계산서!$G:$G,0)),0)</f>
        <v>0</v>
      </c>
      <c r="D16" s="114"/>
      <c r="E16" s="113" t="n">
        <f aca="false">IFERROR(INDEX(손익계산서!$D:$D,MATCH($I16,손익계산서!$G:$G,0)),0)</f>
        <v>163000172</v>
      </c>
      <c r="F16" s="113" t="n">
        <f aca="false">IFERROR(INDEX(손익계산서!$E:$E,MATCH($I16,손익계산서!$G:$G,0)),0)</f>
        <v>0</v>
      </c>
      <c r="G16" s="114"/>
      <c r="H16" s="0" t="str">
        <f aca="false">SUBSTITUTE(A16," ","")</f>
        <v>매입할인</v>
      </c>
      <c r="I16" s="0" t="str">
        <f aca="false">H16&amp;"|"&amp;COUNTIF($H$9:H16,H16)</f>
        <v>매입할인|1</v>
      </c>
      <c r="J16" s="111" t="str">
        <f aca="false">IF($A16="","",IF(ISNUMBER(MATCH($I16,손익계산서!$G:$G,0)),"✓ 일치","⚠ 확인필요"))</f>
        <v>✓ 일치</v>
      </c>
      <c r="K16" s="112" t="str">
        <f aca="false">IFERROR(IF(OR(D16="",G16=""),"",D16-G16),"")</f>
        <v/>
      </c>
    </row>
    <row r="17" customFormat="false" ht="16.5" hidden="false" customHeight="true" outlineLevel="0" collapsed="false">
      <c r="A17" s="84" t="s">
        <v>142</v>
      </c>
      <c r="B17" s="113" t="n">
        <f aca="false">IFERROR(INDEX(손익계산서!$B:$B,MATCH($I17,손익계산서!$G:$G,0)),0)</f>
        <v>2999324483</v>
      </c>
      <c r="C17" s="113" t="n">
        <f aca="false">IFERROR(INDEX(손익계산서!$C:$C,MATCH($I17,손익계산서!$G:$G,0)),0)</f>
        <v>0</v>
      </c>
      <c r="D17" s="114"/>
      <c r="E17" s="113" t="n">
        <f aca="false">IFERROR(INDEX(손익계산서!$D:$D,MATCH($I17,손익계산서!$G:$G,0)),0)</f>
        <v>2126111102</v>
      </c>
      <c r="F17" s="113" t="n">
        <f aca="false">IFERROR(INDEX(손익계산서!$E:$E,MATCH($I17,손익계산서!$G:$G,0)),0)</f>
        <v>0</v>
      </c>
      <c r="G17" s="114"/>
      <c r="H17" s="0" t="str">
        <f aca="false">SUBSTITUTE(A17," ","")</f>
        <v>기말상품재고액</v>
      </c>
      <c r="I17" s="0" t="str">
        <f aca="false">H17&amp;"|"&amp;COUNTIF($H$9:H17,H17)</f>
        <v>기말상품재고액|1</v>
      </c>
      <c r="J17" s="111" t="str">
        <f aca="false">IF($A17="","",IF(ISNUMBER(MATCH($I17,손익계산서!$G:$G,0)),"✓ 일치","⚠ 확인필요"))</f>
        <v>✓ 일치</v>
      </c>
      <c r="K17" s="112" t="str">
        <f aca="false">IFERROR(IF(OR(D17="",G17=""),"",D17-G17),"")</f>
        <v/>
      </c>
    </row>
    <row r="18" customFormat="false" ht="17.25" hidden="false" customHeight="true" outlineLevel="0" collapsed="false">
      <c r="A18" s="91" t="s">
        <v>143</v>
      </c>
      <c r="B18" s="109" t="n">
        <f aca="false">IFERROR(INDEX(손익계산서!$B:$B,MATCH($I18,손익계산서!$G:$G,0)),0)</f>
        <v>0</v>
      </c>
      <c r="C18" s="109" t="n">
        <f aca="false">IFERROR(INDEX(손익계산서!$C:$C,MATCH($I18,손익계산서!$G:$G,0)),0)</f>
        <v>3411763614</v>
      </c>
      <c r="D18" s="110" t="n">
        <f aca="false">C18/C9</f>
        <v>0.177572806566599</v>
      </c>
      <c r="E18" s="109" t="n">
        <f aca="false">IFERROR(INDEX(손익계산서!$D:$D,MATCH($I18,손익계산서!$G:$G,0)),0)</f>
        <v>0</v>
      </c>
      <c r="F18" s="109" t="n">
        <f aca="false">IFERROR(INDEX(손익계산서!$E:$E,MATCH($I18,손익계산서!$G:$G,0)),0)</f>
        <v>5913687702</v>
      </c>
      <c r="G18" s="110" t="n">
        <f aca="false">F18/F9</f>
        <v>0.165372896477655</v>
      </c>
      <c r="H18" s="0" t="str">
        <f aca="false">SUBSTITUTE(A18," ","")</f>
        <v>Ⅲ.매출총이익</v>
      </c>
      <c r="I18" s="0" t="str">
        <f aca="false">H18&amp;"|"&amp;COUNTIF($H$9:H18,H18)</f>
        <v>Ⅲ.매출총이익|1</v>
      </c>
      <c r="J18" s="111" t="str">
        <f aca="false">IF($A18="","",IF(ISNUMBER(MATCH($I18,손익계산서!$G:$G,0)),"✓ 일치","⚠ 확인필요"))</f>
        <v>✓ 일치</v>
      </c>
      <c r="K18" s="112" t="n">
        <f aca="false">IFERROR(IF(OR(D18="",G18=""),"",D18-G18),"")</f>
        <v>0.0121999100889434</v>
      </c>
    </row>
    <row r="19" customFormat="false" ht="16.5" hidden="false" customHeight="true" outlineLevel="0" collapsed="false">
      <c r="A19" s="91" t="s">
        <v>144</v>
      </c>
      <c r="B19" s="109" t="n">
        <f aca="false">IFERROR(INDEX(손익계산서!$B:$B,MATCH($I19,손익계산서!$G:$G,0)),0)</f>
        <v>0</v>
      </c>
      <c r="C19" s="109" t="n">
        <f aca="false">IFERROR(INDEX(손익계산서!$C:$C,MATCH($I19,손익계산서!$G:$G,0)),0)</f>
        <v>1870617248</v>
      </c>
      <c r="D19" s="110" t="n">
        <f aca="false">C19/C9</f>
        <v>0.0973604247891621</v>
      </c>
      <c r="E19" s="109" t="n">
        <f aca="false">IFERROR(INDEX(손익계산서!$D:$D,MATCH($I19,손익계산서!$G:$G,0)),0)</f>
        <v>0</v>
      </c>
      <c r="F19" s="109" t="n">
        <f aca="false">IFERROR(INDEX(손익계산서!$E:$E,MATCH($I19,손익계산서!$G:$G,0)),0)</f>
        <v>4291191892</v>
      </c>
      <c r="G19" s="110" t="n">
        <f aca="false">F19/F9</f>
        <v>0.120000728527052</v>
      </c>
      <c r="H19" s="0" t="str">
        <f aca="false">SUBSTITUTE(A19," ","")</f>
        <v>Ⅳ.판매관리비</v>
      </c>
      <c r="I19" s="0" t="str">
        <f aca="false">H19&amp;"|"&amp;COUNTIF($H$9:H19,H19)</f>
        <v>Ⅳ.판매관리비|1</v>
      </c>
      <c r="J19" s="111" t="str">
        <f aca="false">IF($A19="","",IF(ISNUMBER(MATCH($I19,손익계산서!$G:$G,0)),"✓ 일치","⚠ 확인필요"))</f>
        <v>✓ 일치</v>
      </c>
      <c r="K19" s="112" t="n">
        <f aca="false">IFERROR(IF(OR(D19="",G19=""),"",D19-G19),"")</f>
        <v>-0.0226403037378901</v>
      </c>
      <c r="M19" s="115" t="s">
        <v>145</v>
      </c>
    </row>
    <row r="20" customFormat="false" ht="16.5" hidden="false" customHeight="true" outlineLevel="0" collapsed="false">
      <c r="A20" s="84" t="s">
        <v>146</v>
      </c>
      <c r="B20" s="113" t="n">
        <f aca="false">IFERROR(INDEX(손익계산서!$B:$B,MATCH($I20,손익계산서!$G:$G,0)),0)</f>
        <v>1061222039</v>
      </c>
      <c r="C20" s="113" t="n">
        <f aca="false">IFERROR(INDEX(손익계산서!$C:$C,MATCH($I20,손익계산서!$G:$G,0)),0)</f>
        <v>0</v>
      </c>
      <c r="D20" s="114" t="n">
        <f aca="false">B20/$C$9</f>
        <v>0.0552336554274414</v>
      </c>
      <c r="E20" s="113" t="n">
        <f aca="false">IFERROR(INDEX(손익계산서!$D:$D,MATCH($I20,손익계산서!$G:$G,0)),0)</f>
        <v>2060318569</v>
      </c>
      <c r="F20" s="113" t="n">
        <f aca="false">IFERROR(INDEX(손익계산서!$E:$E,MATCH($I20,손익계산서!$G:$G,0)),0)</f>
        <v>0</v>
      </c>
      <c r="G20" s="114" t="n">
        <f aca="false">E20/F$9</f>
        <v>0.057615631158033</v>
      </c>
      <c r="H20" s="0" t="str">
        <f aca="false">SUBSTITUTE(A20," ","")</f>
        <v>직원급여</v>
      </c>
      <c r="I20" s="0" t="str">
        <f aca="false">H20&amp;"|"&amp;COUNTIF($H$9:H20,H20)</f>
        <v>직원급여|1</v>
      </c>
      <c r="J20" s="111" t="str">
        <f aca="false">IF($A20="","",IF(ISNUMBER(MATCH($I20,손익계산서!$G:$G,0)),"✓ 일치","⚠ 확인필요"))</f>
        <v>✓ 일치</v>
      </c>
      <c r="K20" s="112" t="n">
        <f aca="false">IFERROR(IF(OR(D20="",G20=""),"",D20-G20),"")</f>
        <v>-0.00238197573059155</v>
      </c>
      <c r="M20" s="116" t="n">
        <f aca="false">(B20/$C$19)</f>
        <v>0.567311158995579</v>
      </c>
      <c r="P20" s="116" t="n">
        <f aca="false">(E20/$F$19)</f>
        <v>0.480127344768948</v>
      </c>
    </row>
    <row r="21" customFormat="false" ht="16.5" hidden="false" customHeight="true" outlineLevel="0" collapsed="false">
      <c r="A21" s="84" t="s">
        <v>147</v>
      </c>
      <c r="B21" s="113" t="n">
        <f aca="false">IFERROR(INDEX(손익계산서!$B:$B,MATCH($I21,손익계산서!$G:$G,0)),0)</f>
        <v>0</v>
      </c>
      <c r="C21" s="113" t="n">
        <f aca="false">IFERROR(INDEX(손익계산서!$C:$C,MATCH($I21,손익계산서!$G:$G,0)),0)</f>
        <v>0</v>
      </c>
      <c r="D21" s="114" t="n">
        <f aca="false">B21/$C$9</f>
        <v>0</v>
      </c>
      <c r="E21" s="113" t="n">
        <f aca="false">IFERROR(INDEX(손익계산서!$D:$D,MATCH($I21,손익계산서!$G:$G,0)),0)</f>
        <v>551800000</v>
      </c>
      <c r="F21" s="113" t="n">
        <f aca="false">IFERROR(INDEX(손익계산서!$E:$E,MATCH($I21,손익계산서!$G:$G,0)),0)</f>
        <v>0</v>
      </c>
      <c r="G21" s="114" t="n">
        <f aca="false">E21/F$9</f>
        <v>0.0154307716055937</v>
      </c>
      <c r="H21" s="0" t="str">
        <f aca="false">SUBSTITUTE(A21," ","")</f>
        <v>상여금</v>
      </c>
      <c r="I21" s="0" t="str">
        <f aca="false">H21&amp;"|"&amp;COUNTIF($H$9:H21,H21)</f>
        <v>상여금|1</v>
      </c>
      <c r="J21" s="111" t="str">
        <f aca="false">IF($A21="","",IF(ISNUMBER(MATCH($I21,손익계산서!$G:$G,0)),"✓ 일치","⚠ 확인필요"))</f>
        <v>✓ 일치</v>
      </c>
      <c r="K21" s="112" t="n">
        <f aca="false">IFERROR(IF(OR(D21="",G21=""),"",D21-G21),"")</f>
        <v>-0.0154307716055937</v>
      </c>
      <c r="M21" s="117" t="n">
        <f aca="false">(B21/$C$19)</f>
        <v>0</v>
      </c>
      <c r="P21" s="116" t="n">
        <f aca="false">(E21/$F$19)</f>
        <v>0.128588982708676</v>
      </c>
    </row>
    <row r="22" customFormat="false" ht="16.5" hidden="false" customHeight="true" outlineLevel="0" collapsed="false">
      <c r="A22" s="84" t="s">
        <v>148</v>
      </c>
      <c r="B22" s="113" t="n">
        <f aca="false">IFERROR(INDEX(손익계산서!$B:$B,MATCH($I22,손익계산서!$G:$G,0)),0)</f>
        <v>0</v>
      </c>
      <c r="C22" s="113" t="n">
        <f aca="false">IFERROR(INDEX(손익계산서!$C:$C,MATCH($I22,손익계산서!$G:$G,0)),0)</f>
        <v>0</v>
      </c>
      <c r="D22" s="114" t="n">
        <f aca="false">B22/$C$9</f>
        <v>0</v>
      </c>
      <c r="E22" s="113" t="n">
        <f aca="false">IFERROR(INDEX(손익계산서!$D:$D,MATCH($I22,손익계산서!$G:$G,0)),0)</f>
        <v>12096500</v>
      </c>
      <c r="F22" s="113" t="n">
        <f aca="false">IFERROR(INDEX(손익계산서!$E:$E,MATCH($I22,손익계산서!$G:$G,0)),0)</f>
        <v>0</v>
      </c>
      <c r="G22" s="114" t="n">
        <f aca="false">E22/F$9</f>
        <v>0.00033827170845789</v>
      </c>
      <c r="H22" s="0" t="str">
        <f aca="false">SUBSTITUTE(A22," ","")</f>
        <v>연차수당</v>
      </c>
      <c r="I22" s="0" t="str">
        <f aca="false">H22&amp;"|"&amp;COUNTIF($H$9:H22,H22)</f>
        <v>연차수당|1</v>
      </c>
      <c r="J22" s="111" t="str">
        <f aca="false">IF($A22="","",IF(ISNUMBER(MATCH($I22,손익계산서!$G:$G,0)),"✓ 일치","⚠ 확인필요"))</f>
        <v>✓ 일치</v>
      </c>
      <c r="K22" s="112" t="n">
        <f aca="false">IFERROR(IF(OR(D22="",G22=""),"",D22-G22),"")</f>
        <v>-0.00033827170845789</v>
      </c>
      <c r="M22" s="117" t="n">
        <f aca="false">(B22/$C$19)</f>
        <v>0</v>
      </c>
      <c r="P22" s="118" t="n">
        <f aca="false">(E22/$F$19)</f>
        <v>0.00281891379002447</v>
      </c>
    </row>
    <row r="23" customFormat="false" ht="16.5" hidden="false" customHeight="true" outlineLevel="0" collapsed="false">
      <c r="A23" s="84" t="s">
        <v>149</v>
      </c>
      <c r="B23" s="113" t="n">
        <f aca="false">IFERROR(INDEX(손익계산서!$B:$B,MATCH($I23,손익계산서!$G:$G,0)),0)</f>
        <v>88091340</v>
      </c>
      <c r="C23" s="113" t="n">
        <f aca="false">IFERROR(INDEX(손익계산서!$C:$C,MATCH($I23,손익계산서!$G:$G,0)),0)</f>
        <v>0</v>
      </c>
      <c r="D23" s="114" t="n">
        <f aca="false">B23/$C$9</f>
        <v>0.00458490922812581</v>
      </c>
      <c r="E23" s="113" t="n">
        <f aca="false">IFERROR(INDEX(손익계산서!$D:$D,MATCH($I23,손익계산서!$G:$G,0)),0)</f>
        <v>305951630</v>
      </c>
      <c r="F23" s="113" t="n">
        <f aca="false">IFERROR(INDEX(손익계산서!$E:$E,MATCH($I23,손익계산서!$G:$G,0)),0)</f>
        <v>0</v>
      </c>
      <c r="G23" s="114" t="n">
        <f aca="false">E23/F$9</f>
        <v>0.00855576245902338</v>
      </c>
      <c r="H23" s="0" t="str">
        <f aca="false">SUBSTITUTE(A23," ","")</f>
        <v>퇴직급여</v>
      </c>
      <c r="I23" s="0" t="str">
        <f aca="false">H23&amp;"|"&amp;COUNTIF($H$9:H23,H23)</f>
        <v>퇴직급여|1</v>
      </c>
      <c r="J23" s="111" t="str">
        <f aca="false">IF($A23="","",IF(ISNUMBER(MATCH($I23,손익계산서!$G:$G,0)),"✓ 일치","⚠ 확인필요"))</f>
        <v>✓ 일치</v>
      </c>
      <c r="K23" s="112" t="n">
        <f aca="false">IFERROR(IF(OR(D23="",G23=""),"",D23-G23),"")</f>
        <v>-0.00397085323089757</v>
      </c>
      <c r="M23" s="117" t="n">
        <f aca="false">(B23/$C$19)</f>
        <v>0.0470921243210947</v>
      </c>
      <c r="P23" s="116" t="n">
        <f aca="false">(E23/$F$19)</f>
        <v>0.0712975876400169</v>
      </c>
    </row>
    <row r="24" customFormat="false" ht="16.5" hidden="false" customHeight="true" outlineLevel="0" collapsed="false">
      <c r="A24" s="84" t="s">
        <v>150</v>
      </c>
      <c r="B24" s="113" t="n">
        <f aca="false">IFERROR(INDEX(손익계산서!$B:$B,MATCH($I24,손익계산서!$G:$G,0)),0)</f>
        <v>92419321</v>
      </c>
      <c r="C24" s="113" t="n">
        <f aca="false">IFERROR(INDEX(손익계산서!$C:$C,MATCH($I24,손익계산서!$G:$G,0)),0)</f>
        <v>0</v>
      </c>
      <c r="D24" s="114" t="n">
        <f aca="false">B24/$C$9</f>
        <v>0.00481016860124981</v>
      </c>
      <c r="E24" s="113" t="n">
        <f aca="false">IFERROR(INDEX(손익계산서!$D:$D,MATCH($I24,손익계산서!$G:$G,0)),0)</f>
        <v>173366229</v>
      </c>
      <c r="F24" s="113" t="n">
        <f aca="false">IFERROR(INDEX(손익계산서!$E:$E,MATCH($I24,손익계산서!$G:$G,0)),0)</f>
        <v>0</v>
      </c>
      <c r="G24" s="114" t="n">
        <f aca="false">E24/F$9</f>
        <v>0.00484808750239589</v>
      </c>
      <c r="H24" s="0" t="str">
        <f aca="false">SUBSTITUTE(A24," ","")</f>
        <v>복리후생비</v>
      </c>
      <c r="I24" s="0" t="str">
        <f aca="false">H24&amp;"|"&amp;COUNTIF($H$9:H24,H24)</f>
        <v>복리후생비|1</v>
      </c>
      <c r="J24" s="111" t="str">
        <f aca="false">IF($A24="","",IF(ISNUMBER(MATCH($I24,손익계산서!$G:$G,0)),"✓ 일치","⚠ 확인필요"))</f>
        <v>✓ 일치</v>
      </c>
      <c r="K24" s="112" t="n">
        <f aca="false">IFERROR(IF(OR(D24="",G24=""),"",D24-G24),"")</f>
        <v>-3.79189011460775E-005</v>
      </c>
      <c r="M24" s="117" t="n">
        <f aca="false">(B24/$C$19)</f>
        <v>0.0494057889708927</v>
      </c>
      <c r="P24" s="118" t="n">
        <f aca="false">(E24/$F$19)</f>
        <v>0.0404004839129203</v>
      </c>
    </row>
    <row r="25" customFormat="false" ht="16.5" hidden="false" customHeight="true" outlineLevel="0" collapsed="false">
      <c r="A25" s="84" t="s">
        <v>151</v>
      </c>
      <c r="B25" s="113" t="n">
        <f aca="false">IFERROR(INDEX(손익계산서!$B:$B,MATCH($I25,손익계산서!$G:$G,0)),0)</f>
        <v>7223588</v>
      </c>
      <c r="C25" s="113" t="n">
        <f aca="false">IFERROR(INDEX(손익계산서!$C:$C,MATCH($I25,손익계산서!$G:$G,0)),0)</f>
        <v>0</v>
      </c>
      <c r="D25" s="114" t="n">
        <f aca="false">B25/$C$9</f>
        <v>0.000375967663579404</v>
      </c>
      <c r="E25" s="113" t="n">
        <f aca="false">IFERROR(INDEX(손익계산서!$D:$D,MATCH($I25,손익계산서!$G:$G,0)),0)</f>
        <v>8300248</v>
      </c>
      <c r="F25" s="113" t="n">
        <f aca="false">IFERROR(INDEX(손익계산서!$E:$E,MATCH($I25,손익계산서!$G:$G,0)),0)</f>
        <v>0</v>
      </c>
      <c r="G25" s="114" t="n">
        <f aca="false">E25/F$9</f>
        <v>0.000232111691115958</v>
      </c>
      <c r="H25" s="0" t="str">
        <f aca="false">SUBSTITUTE(A25," ","")</f>
        <v>여비교통비</v>
      </c>
      <c r="I25" s="0" t="str">
        <f aca="false">H25&amp;"|"&amp;COUNTIF($H$9:H25,H25)</f>
        <v>여비교통비|1</v>
      </c>
      <c r="J25" s="111" t="str">
        <f aca="false">IF($A25="","",IF(ISNUMBER(MATCH($I25,손익계산서!$G:$G,0)),"✓ 일치","⚠ 확인필요"))</f>
        <v>✓ 일치</v>
      </c>
      <c r="K25" s="112" t="n">
        <f aca="false">IFERROR(IF(OR(D25="",G25=""),"",D25-G25),"")</f>
        <v>0.000143855972463446</v>
      </c>
      <c r="M25" s="117" t="n">
        <f aca="false">(B25/$C$19)</f>
        <v>0.00386160664760427</v>
      </c>
      <c r="P25" s="118" t="n">
        <f aca="false">(E25/$F$19)</f>
        <v>0.0019342523496733</v>
      </c>
    </row>
    <row r="26" customFormat="false" ht="16.5" hidden="false" customHeight="true" outlineLevel="0" collapsed="false">
      <c r="A26" s="84" t="s">
        <v>152</v>
      </c>
      <c r="B26" s="113" t="n">
        <f aca="false">IFERROR(INDEX(손익계산서!$B:$B,MATCH($I26,손익계산서!$G:$G,0)),0)</f>
        <v>38130927</v>
      </c>
      <c r="C26" s="113" t="n">
        <f aca="false">IFERROR(INDEX(손익계산서!$C:$C,MATCH($I26,손익계산서!$G:$G,0)),0)</f>
        <v>0</v>
      </c>
      <c r="D26" s="114" t="n">
        <f aca="false">B26/$C$9</f>
        <v>0.00198460869228793</v>
      </c>
      <c r="E26" s="113" t="n">
        <f aca="false">IFERROR(INDEX(손익계산서!$D:$D,MATCH($I26,손익계산서!$G:$G,0)),0)</f>
        <v>74924080</v>
      </c>
      <c r="F26" s="113" t="n">
        <f aca="false">IFERROR(INDEX(손익계산서!$E:$E,MATCH($I26,손익계산서!$G:$G,0)),0)</f>
        <v>0</v>
      </c>
      <c r="G26" s="114" t="n">
        <f aca="false">E26/F$9</f>
        <v>0.00209520907256113</v>
      </c>
      <c r="H26" s="0" t="str">
        <f aca="false">SUBSTITUTE(A26," ","")</f>
        <v>접대비</v>
      </c>
      <c r="I26" s="0" t="str">
        <f aca="false">H26&amp;"|"&amp;COUNTIF($H$9:H26,H26)</f>
        <v>접대비|1</v>
      </c>
      <c r="J26" s="111" t="str">
        <f aca="false">IF($A26="","",IF(ISNUMBER(MATCH($I26,손익계산서!$G:$G,0)),"✓ 일치","⚠ 확인필요"))</f>
        <v>✓ 일치</v>
      </c>
      <c r="K26" s="112" t="n">
        <f aca="false">IFERROR(IF(OR(D26="",G26=""),"",D26-G26),"")</f>
        <v>-0.000110600380273193</v>
      </c>
      <c r="M26" s="117" t="n">
        <f aca="false">(B26/$C$19)</f>
        <v>0.0203841416734333</v>
      </c>
      <c r="P26" s="118" t="n">
        <f aca="false">(E26/$F$19)</f>
        <v>0.0174599696041745</v>
      </c>
    </row>
    <row r="27" customFormat="false" ht="16.5" hidden="false" customHeight="true" outlineLevel="0" collapsed="false">
      <c r="A27" s="84" t="s">
        <v>153</v>
      </c>
      <c r="B27" s="113" t="n">
        <f aca="false">IFERROR(INDEX(손익계산서!$B:$B,MATCH($I27,손익계산서!$G:$G,0)),0)</f>
        <v>9374397</v>
      </c>
      <c r="C27" s="113" t="n">
        <f aca="false">IFERROR(INDEX(손익계산서!$C:$C,MATCH($I27,손익계산서!$G:$G,0)),0)</f>
        <v>0</v>
      </c>
      <c r="D27" s="114" t="n">
        <f aca="false">B27/$C$9</f>
        <v>0.000487911289729671</v>
      </c>
      <c r="E27" s="113" t="n">
        <f aca="false">IFERROR(INDEX(손익계산서!$D:$D,MATCH($I27,손익계산서!$G:$G,0)),0)</f>
        <v>18692616</v>
      </c>
      <c r="F27" s="113" t="n">
        <f aca="false">IFERROR(INDEX(손익계산서!$E:$E,MATCH($I27,손익계산서!$G:$G,0)),0)</f>
        <v>0</v>
      </c>
      <c r="G27" s="114" t="n">
        <f aca="false">E27/F$9</f>
        <v>0.000522728322231</v>
      </c>
      <c r="H27" s="0" t="str">
        <f aca="false">SUBSTITUTE(A27," ","")</f>
        <v>통신비</v>
      </c>
      <c r="I27" s="0" t="str">
        <f aca="false">H27&amp;"|"&amp;COUNTIF($H$9:H27,H27)</f>
        <v>통신비|1</v>
      </c>
      <c r="J27" s="111" t="str">
        <f aca="false">IF($A27="","",IF(ISNUMBER(MATCH($I27,손익계산서!$G:$G,0)),"✓ 일치","⚠ 확인필요"))</f>
        <v>✓ 일치</v>
      </c>
      <c r="K27" s="112" t="n">
        <f aca="false">IFERROR(IF(OR(D27="",G27=""),"",D27-G27),"")</f>
        <v>-3.48170325013299E-005</v>
      </c>
      <c r="M27" s="117" t="n">
        <f aca="false">(B27/$C$19)</f>
        <v>0.00501139236795918</v>
      </c>
      <c r="P27" s="118" t="n">
        <f aca="false">(E27/$F$19)</f>
        <v>0.00435604290613252</v>
      </c>
    </row>
    <row r="28" customFormat="false" ht="16.5" hidden="false" customHeight="true" outlineLevel="0" collapsed="false">
      <c r="A28" s="84" t="s">
        <v>154</v>
      </c>
      <c r="B28" s="113" t="n">
        <f aca="false">IFERROR(INDEX(손익계산서!$B:$B,MATCH($I28,손익계산서!$G:$G,0)),0)</f>
        <v>612260</v>
      </c>
      <c r="C28" s="113" t="n">
        <f aca="false">IFERROR(INDEX(손익계산서!$C:$C,MATCH($I28,손익계산서!$G:$G,0)),0)</f>
        <v>0</v>
      </c>
      <c r="D28" s="114" t="n">
        <f aca="false">B28/$C$9</f>
        <v>3.18664300487688E-005</v>
      </c>
      <c r="E28" s="113" t="n">
        <f aca="false">IFERROR(INDEX(손익계산서!$D:$D,MATCH($I28,손익계산서!$G:$G,0)),0)</f>
        <v>1127751</v>
      </c>
      <c r="F28" s="113" t="n">
        <f aca="false">IFERROR(INDEX(손익계산서!$E:$E,MATCH($I28,손익계산서!$G:$G,0)),0)</f>
        <v>0</v>
      </c>
      <c r="G28" s="114" t="n">
        <f aca="false">E28/F$9</f>
        <v>3.15369121221092E-005</v>
      </c>
      <c r="H28" s="0" t="str">
        <f aca="false">SUBSTITUTE(A28," ","")</f>
        <v>수도광열비</v>
      </c>
      <c r="I28" s="0" t="str">
        <f aca="false">H28&amp;"|"&amp;COUNTIF($H$9:H28,H28)</f>
        <v>수도광열비|1</v>
      </c>
      <c r="J28" s="111" t="str">
        <f aca="false">IF($A28="","",IF(ISNUMBER(MATCH($I28,손익계산서!$G:$G,0)),"✓ 일치","⚠ 확인필요"))</f>
        <v>✓ 일치</v>
      </c>
      <c r="K28" s="112" t="n">
        <f aca="false">IFERROR(IF(OR(D28="",G28=""),"",D28-G28),"")</f>
        <v>3.29517926659564E-007</v>
      </c>
      <c r="M28" s="117" t="n">
        <f aca="false">(B28/$C$19)</f>
        <v>0.000327303728571202</v>
      </c>
      <c r="P28" s="118" t="n">
        <f aca="false">(E28/$F$19)</f>
        <v>0.000262806005506873</v>
      </c>
    </row>
    <row r="29" customFormat="false" ht="16.5" hidden="false" customHeight="true" outlineLevel="0" collapsed="false">
      <c r="A29" s="84" t="s">
        <v>155</v>
      </c>
      <c r="B29" s="113" t="n">
        <f aca="false">IFERROR(INDEX(손익계산서!$B:$B,MATCH($I29,손익계산서!$G:$G,0)),0)</f>
        <v>8685767</v>
      </c>
      <c r="C29" s="113" t="n">
        <f aca="false">IFERROR(INDEX(손익계산서!$C:$C,MATCH($I29,손익계산서!$G:$G,0)),0)</f>
        <v>0</v>
      </c>
      <c r="D29" s="114" t="n">
        <f aca="false">B29/$C$9</f>
        <v>0.000452070013597825</v>
      </c>
      <c r="E29" s="113" t="n">
        <f aca="false">IFERROR(INDEX(손익계산서!$D:$D,MATCH($I29,손익계산서!$G:$G,0)),0)</f>
        <v>15489170</v>
      </c>
      <c r="F29" s="113" t="n">
        <f aca="false">IFERROR(INDEX(손익계산서!$E:$E,MATCH($I29,손익계산서!$G:$G,0)),0)</f>
        <v>0</v>
      </c>
      <c r="G29" s="114" t="n">
        <f aca="false">E29/F$9</f>
        <v>0.000433145785846708</v>
      </c>
      <c r="H29" s="0" t="str">
        <f aca="false">SUBSTITUTE(A29," ","")</f>
        <v>전력비</v>
      </c>
      <c r="I29" s="0" t="str">
        <f aca="false">H29&amp;"|"&amp;COUNTIF($H$9:H29,H29)</f>
        <v>전력비|1</v>
      </c>
      <c r="J29" s="111" t="str">
        <f aca="false">IF($A29="","",IF(ISNUMBER(MATCH($I29,손익계산서!$G:$G,0)),"✓ 일치","⚠ 확인필요"))</f>
        <v>✓ 일치</v>
      </c>
      <c r="K29" s="112" t="n">
        <f aca="false">IFERROR(IF(OR(D29="",G29=""),"",D29-G29),"")</f>
        <v>1.89242277511173E-005</v>
      </c>
      <c r="M29" s="117" t="n">
        <f aca="false">(B29/$C$19)</f>
        <v>0.00464326254303841</v>
      </c>
      <c r="P29" s="118" t="n">
        <f aca="false">(E29/$F$19)</f>
        <v>0.00360952630174293</v>
      </c>
    </row>
    <row r="30" customFormat="false" ht="16.5" hidden="false" customHeight="true" outlineLevel="0" collapsed="false">
      <c r="A30" s="84" t="s">
        <v>156</v>
      </c>
      <c r="B30" s="113" t="n">
        <f aca="false">IFERROR(INDEX(손익계산서!$B:$B,MATCH($I30,손익계산서!$G:$G,0)),0)</f>
        <v>52313460</v>
      </c>
      <c r="C30" s="113" t="n">
        <f aca="false">IFERROR(INDEX(손익계산서!$C:$C,MATCH($I30,손익계산서!$G:$G,0)),0)</f>
        <v>0</v>
      </c>
      <c r="D30" s="114" t="n">
        <f aca="false">B30/$C$9</f>
        <v>0.00272277008737965</v>
      </c>
      <c r="E30" s="113" t="n">
        <f aca="false">IFERROR(INDEX(손익계산서!$D:$D,MATCH($I30,손익계산서!$G:$G,0)),0)</f>
        <v>41002240</v>
      </c>
      <c r="F30" s="113" t="n">
        <f aca="false">IFERROR(INDEX(손익계산서!$E:$E,MATCH($I30,손익계산서!$G:$G,0)),0)</f>
        <v>0</v>
      </c>
      <c r="G30" s="114" t="n">
        <f aca="false">E30/F$9</f>
        <v>0.0011466042057951</v>
      </c>
      <c r="H30" s="0" t="str">
        <f aca="false">SUBSTITUTE(A30," ","")</f>
        <v>세금과공과금</v>
      </c>
      <c r="I30" s="0" t="str">
        <f aca="false">H30&amp;"|"&amp;COUNTIF($H$9:H30,H30)</f>
        <v>세금과공과금|1</v>
      </c>
      <c r="J30" s="111" t="str">
        <f aca="false">IF($A30="","",IF(ISNUMBER(MATCH($I30,손익계산서!$G:$G,0)),"✓ 일치","⚠ 확인필요"))</f>
        <v>✓ 일치</v>
      </c>
      <c r="K30" s="112" t="n">
        <f aca="false">IFERROR(IF(OR(D30="",G30=""),"",D30-G30),"")</f>
        <v>0.00157616588158455</v>
      </c>
      <c r="M30" s="117" t="n">
        <f aca="false">(B30/$C$19)</f>
        <v>0.0279658813452788</v>
      </c>
      <c r="P30" s="118" t="n">
        <f aca="false">(E30/$F$19)</f>
        <v>0.00955497703946538</v>
      </c>
    </row>
    <row r="31" customFormat="false" ht="16.5" hidden="false" customHeight="true" outlineLevel="0" collapsed="false">
      <c r="A31" s="84" t="s">
        <v>157</v>
      </c>
      <c r="B31" s="113" t="n">
        <f aca="false">IFERROR(INDEX(손익계산서!$B:$B,MATCH($I31,손익계산서!$G:$G,0)),0)</f>
        <v>59963158</v>
      </c>
      <c r="C31" s="113" t="n">
        <f aca="false">IFERROR(INDEX(손익계산서!$C:$C,MATCH($I31,손익계산서!$G:$G,0)),0)</f>
        <v>0</v>
      </c>
      <c r="D31" s="114" t="n">
        <f aca="false">B31/$C$9</f>
        <v>0.00312091559126886</v>
      </c>
      <c r="E31" s="113" t="n">
        <f aca="false">IFERROR(INDEX(손익계산서!$D:$D,MATCH($I31,손익계산서!$G:$G,0)),0)</f>
        <v>151430376</v>
      </c>
      <c r="F31" s="113" t="n">
        <f aca="false">IFERROR(INDEX(손익계산서!$E:$E,MATCH($I31,손익계산서!$G:$G,0)),0)</f>
        <v>0</v>
      </c>
      <c r="G31" s="114" t="n">
        <f aca="false">E31/F$9</f>
        <v>0.00423466391120909</v>
      </c>
      <c r="H31" s="0" t="str">
        <f aca="false">SUBSTITUTE(A31," ","")</f>
        <v>감가상각비</v>
      </c>
      <c r="I31" s="0" t="str">
        <f aca="false">H31&amp;"|"&amp;COUNTIF($H$9:H31,H31)</f>
        <v>감가상각비|1</v>
      </c>
      <c r="J31" s="111" t="str">
        <f aca="false">IF($A31="","",IF(ISNUMBER(MATCH($I31,손익계산서!$G:$G,0)),"✓ 일치","⚠ 확인필요"))</f>
        <v>✓ 일치</v>
      </c>
      <c r="K31" s="112" t="n">
        <f aca="false">IFERROR(IF(OR(D31="",G31=""),"",D31-G31),"")</f>
        <v>-0.00111374831994023</v>
      </c>
      <c r="M31" s="116" t="n">
        <f aca="false">(B31/$C$19)</f>
        <v>0.0320552791139452</v>
      </c>
      <c r="P31" s="118" t="n">
        <f aca="false">(E31/$F$19)</f>
        <v>0.0352886516872641</v>
      </c>
    </row>
    <row r="32" customFormat="false" ht="16.5" hidden="false" customHeight="true" outlineLevel="0" collapsed="false">
      <c r="A32" s="84" t="s">
        <v>158</v>
      </c>
      <c r="B32" s="113" t="n">
        <f aca="false">IFERROR(INDEX(손익계산서!$B:$B,MATCH($I32,손익계산서!$G:$G,0)),0)</f>
        <v>81000000</v>
      </c>
      <c r="C32" s="113" t="n">
        <f aca="false">IFERROR(INDEX(손익계산서!$C:$C,MATCH($I32,손익계산서!$G:$G,0)),0)</f>
        <v>0</v>
      </c>
      <c r="D32" s="114" t="n">
        <f aca="false">B32/$C$9</f>
        <v>0.00421582470510939</v>
      </c>
      <c r="E32" s="113" t="n">
        <f aca="false">IFERROR(INDEX(손익계산서!$D:$D,MATCH($I32,손익계산서!$G:$G,0)),0)</f>
        <v>162000000</v>
      </c>
      <c r="F32" s="113" t="n">
        <f aca="false">IFERROR(INDEX(손익계산서!$E:$E,MATCH($I32,손익계산서!$G:$G,0)),0)</f>
        <v>0</v>
      </c>
      <c r="G32" s="114" t="n">
        <f aca="false">E32/F$9</f>
        <v>0.00453023740504925</v>
      </c>
      <c r="H32" s="0" t="str">
        <f aca="false">SUBSTITUTE(A32," ","")</f>
        <v>지급임차료</v>
      </c>
      <c r="I32" s="0" t="str">
        <f aca="false">H32&amp;"|"&amp;COUNTIF($H$9:H32,H32)</f>
        <v>지급임차료|1</v>
      </c>
      <c r="J32" s="111" t="str">
        <f aca="false">IF($A32="","",IF(ISNUMBER(MATCH($I32,손익계산서!$G:$G,0)),"✓ 일치","⚠ 확인필요"))</f>
        <v>✓ 일치</v>
      </c>
      <c r="K32" s="112" t="n">
        <f aca="false">IFERROR(IF(OR(D32="",G32=""),"",D32-G32),"")</f>
        <v>-0.000314412699939863</v>
      </c>
      <c r="M32" s="116" t="n">
        <f aca="false">(B32/$C$19)</f>
        <v>0.0433012151933285</v>
      </c>
      <c r="P32" s="116" t="n">
        <f aca="false">(E32/$F$19)</f>
        <v>0.0377517491823225</v>
      </c>
    </row>
    <row r="33" customFormat="false" ht="16.5" hidden="false" customHeight="true" outlineLevel="0" collapsed="false">
      <c r="A33" s="84" t="s">
        <v>159</v>
      </c>
      <c r="B33" s="113" t="n">
        <f aca="false">IFERROR(INDEX(손익계산서!$B:$B,MATCH($I33,손익계산서!$G:$G,0)),0)</f>
        <v>45520159</v>
      </c>
      <c r="C33" s="113" t="n">
        <f aca="false">IFERROR(INDEX(손익계산서!$C:$C,MATCH($I33,손익계산서!$G:$G,0)),0)</f>
        <v>0</v>
      </c>
      <c r="D33" s="114" t="n">
        <f aca="false">B33/$C$9</f>
        <v>0.00236919766534207</v>
      </c>
      <c r="E33" s="113" t="n">
        <f aca="false">IFERROR(INDEX(손익계산서!$D:$D,MATCH($I33,손익계산서!$G:$G,0)),0)</f>
        <v>68016202</v>
      </c>
      <c r="F33" s="113" t="n">
        <f aca="false">IFERROR(INDEX(손익계산서!$E:$E,MATCH($I33,손익계산서!$G:$G,0)),0)</f>
        <v>0</v>
      </c>
      <c r="G33" s="114" t="n">
        <f aca="false">E33/F$9</f>
        <v>0.001902034212653</v>
      </c>
      <c r="H33" s="0" t="str">
        <f aca="false">SUBSTITUTE(A33," ","")</f>
        <v>보험료</v>
      </c>
      <c r="I33" s="0" t="str">
        <f aca="false">H33&amp;"|"&amp;COUNTIF($H$9:H33,H33)</f>
        <v>보험료|1</v>
      </c>
      <c r="J33" s="111" t="str">
        <f aca="false">IF($A33="","",IF(ISNUMBER(MATCH($I33,손익계산서!$G:$G,0)),"✓ 일치","⚠ 확인필요"))</f>
        <v>✓ 일치</v>
      </c>
      <c r="K33" s="112" t="n">
        <f aca="false">IFERROR(IF(OR(D33="",G33=""),"",D33-G33),"")</f>
        <v>0.000467163452689069</v>
      </c>
      <c r="M33" s="117" t="n">
        <f aca="false">(B33/$C$19)</f>
        <v>0.0243342987715251</v>
      </c>
      <c r="P33" s="118" t="n">
        <f aca="false">(E33/$F$19)</f>
        <v>0.0158501888780135</v>
      </c>
    </row>
    <row r="34" customFormat="false" ht="16.5" hidden="false" customHeight="true" outlineLevel="0" collapsed="false">
      <c r="A34" s="84" t="s">
        <v>160</v>
      </c>
      <c r="B34" s="113" t="n">
        <f aca="false">IFERROR(INDEX(손익계산서!$B:$B,MATCH($I34,손익계산서!$G:$G,0)),0)</f>
        <v>129149222</v>
      </c>
      <c r="C34" s="113" t="n">
        <f aca="false">IFERROR(INDEX(손익계산서!$C:$C,MATCH($I34,손익계산서!$G:$G,0)),0)</f>
        <v>0</v>
      </c>
      <c r="D34" s="114" t="n">
        <f aca="false">B34/$C$9</f>
        <v>0.00672185778707724</v>
      </c>
      <c r="E34" s="113" t="n">
        <f aca="false">IFERROR(INDEX(손익계산서!$D:$D,MATCH($I34,손익계산서!$G:$G,0)),0)</f>
        <v>234909756</v>
      </c>
      <c r="F34" s="113" t="n">
        <f aca="false">IFERROR(INDEX(손익계산서!$E:$E,MATCH($I34,손익계산서!$G:$G,0)),0)</f>
        <v>0</v>
      </c>
      <c r="G34" s="114" t="n">
        <f aca="false">E34/F$9</f>
        <v>0.00656911705828514</v>
      </c>
      <c r="H34" s="0" t="str">
        <f aca="false">SUBSTITUTE(A34," ","")</f>
        <v>차량유지비</v>
      </c>
      <c r="I34" s="0" t="str">
        <f aca="false">H34&amp;"|"&amp;COUNTIF($H$9:H34,H34)</f>
        <v>차량유지비|1</v>
      </c>
      <c r="J34" s="111" t="str">
        <f aca="false">IF($A34="","",IF(ISNUMBER(MATCH($I34,손익계산서!$G:$G,0)),"✓ 일치","⚠ 확인필요"))</f>
        <v>✓ 일치</v>
      </c>
      <c r="K34" s="112" t="n">
        <f aca="false">IFERROR(IF(OR(D34="",G34=""),"",D34-G34),"")</f>
        <v>0.000152740728792104</v>
      </c>
      <c r="M34" s="116" t="n">
        <f aca="false">(B34/$C$19)</f>
        <v>0.069040966097197</v>
      </c>
      <c r="P34" s="116" t="n">
        <f aca="false">(E34/$F$19)</f>
        <v>0.0547423098085962</v>
      </c>
    </row>
    <row r="35" customFormat="false" ht="16.5" hidden="false" customHeight="true" outlineLevel="0" collapsed="false">
      <c r="A35" s="84" t="s">
        <v>161</v>
      </c>
      <c r="B35" s="113" t="n">
        <f aca="false">IFERROR(INDEX(손익계산서!$B:$B,MATCH($I35,손익계산서!$G:$G,0)),0)</f>
        <v>10743083</v>
      </c>
      <c r="C35" s="113" t="n">
        <f aca="false">IFERROR(INDEX(손익계산서!$C:$C,MATCH($I35,손익계산서!$G:$G,0)),0)</f>
        <v>0</v>
      </c>
      <c r="D35" s="114" t="n">
        <f aca="false">B35/$C$9</f>
        <v>0.000559147589141243</v>
      </c>
      <c r="E35" s="113" t="n">
        <f aca="false">IFERROR(INDEX(손익계산서!$D:$D,MATCH($I35,손익계산서!$G:$G,0)),0)</f>
        <v>26830863</v>
      </c>
      <c r="F35" s="113" t="n">
        <f aca="false">IFERROR(INDEX(손익계산서!$E:$E,MATCH($I35,손익계산서!$G:$G,0)),0)</f>
        <v>0</v>
      </c>
      <c r="G35" s="114" t="n">
        <f aca="false">E35/F$9</f>
        <v>0.000750309747977481</v>
      </c>
      <c r="H35" s="0" t="str">
        <f aca="false">SUBSTITUTE(A35," ","")</f>
        <v>운반비</v>
      </c>
      <c r="I35" s="0" t="str">
        <f aca="false">H35&amp;"|"&amp;COUNTIF($H$9:H35,H35)</f>
        <v>운반비|1</v>
      </c>
      <c r="J35" s="111" t="str">
        <f aca="false">IF($A35="","",IF(ISNUMBER(MATCH($I35,손익계산서!$G:$G,0)),"✓ 일치","⚠ 확인필요"))</f>
        <v>✓ 일치</v>
      </c>
      <c r="K35" s="112" t="n">
        <f aca="false">IFERROR(IF(OR(D35="",G35=""),"",D35-G35),"")</f>
        <v>-0.000191162158836238</v>
      </c>
      <c r="M35" s="117" t="n">
        <f aca="false">(B35/$C$19)</f>
        <v>0.00574306850398506</v>
      </c>
      <c r="P35" s="118" t="n">
        <f aca="false">(E35/$F$19)</f>
        <v>0.00625254327358801</v>
      </c>
    </row>
    <row r="36" customFormat="false" ht="16.5" hidden="false" customHeight="true" outlineLevel="0" collapsed="false">
      <c r="A36" s="84" t="s">
        <v>162</v>
      </c>
      <c r="B36" s="113" t="n">
        <f aca="false">IFERROR(INDEX(손익계산서!$B:$B,MATCH($I36,손익계산서!$G:$G,0)),0)</f>
        <v>0</v>
      </c>
      <c r="C36" s="113" t="n">
        <f aca="false">IFERROR(INDEX(손익계산서!$C:$C,MATCH($I36,손익계산서!$G:$G,0)),0)</f>
        <v>0</v>
      </c>
      <c r="D36" s="114" t="n">
        <f aca="false">B36/$C$9</f>
        <v>0</v>
      </c>
      <c r="E36" s="113" t="n">
        <f aca="false">IFERROR(INDEX(손익계산서!$D:$D,MATCH($I36,손익계산서!$G:$G,0)),0)</f>
        <v>0</v>
      </c>
      <c r="F36" s="113" t="n">
        <f aca="false">IFERROR(INDEX(손익계산서!$E:$E,MATCH($I36,손익계산서!$G:$G,0)),0)</f>
        <v>0</v>
      </c>
      <c r="G36" s="114" t="n">
        <f aca="false">E36/F$9</f>
        <v>0</v>
      </c>
      <c r="H36" s="0" t="str">
        <f aca="false">SUBSTITUTE(A36," ","")</f>
        <v>포장비</v>
      </c>
      <c r="I36" s="0" t="str">
        <f aca="false">H36&amp;"|"&amp;COUNTIF($H$9:H36,H36)</f>
        <v>포장비|1</v>
      </c>
      <c r="J36" s="111" t="str">
        <f aca="false">IF($A36="","",IF(ISNUMBER(MATCH($I36,손익계산서!$G:$G,0)),"✓ 일치","⚠ 확인필요"))</f>
        <v>⚠ 확인필요</v>
      </c>
      <c r="K36" s="112" t="n">
        <f aca="false">IFERROR(IF(OR(D36="",G36=""),"",D36-G36),"")</f>
        <v>0</v>
      </c>
      <c r="M36" s="117" t="n">
        <f aca="false">(B36/$C$19)</f>
        <v>0</v>
      </c>
      <c r="P36" s="118" t="n">
        <f aca="false">(E36/$F$19)</f>
        <v>0</v>
      </c>
    </row>
    <row r="37" customFormat="false" ht="16.5" hidden="false" customHeight="true" outlineLevel="0" collapsed="false">
      <c r="A37" s="84" t="s">
        <v>163</v>
      </c>
      <c r="B37" s="113" t="n">
        <f aca="false">IFERROR(INDEX(손익계산서!$B:$B,MATCH($I37,손익계산서!$G:$G,0)),0)</f>
        <v>13313940</v>
      </c>
      <c r="C37" s="113" t="n">
        <f aca="false">IFERROR(INDEX(손익계산서!$C:$C,MATCH($I37,손익계산서!$G:$G,0)),0)</f>
        <v>0</v>
      </c>
      <c r="D37" s="114" t="n">
        <f aca="false">B37/$C$9</f>
        <v>0.000692953545362272</v>
      </c>
      <c r="E37" s="113" t="n">
        <f aca="false">IFERROR(INDEX(손익계산서!$D:$D,MATCH($I37,손익계산서!$G:$G,0)),0)</f>
        <v>16554758</v>
      </c>
      <c r="F37" s="113" t="n">
        <f aca="false">IFERROR(INDEX(손익계산서!$E:$E,MATCH($I37,손익계산서!$G:$G,0)),0)</f>
        <v>0</v>
      </c>
      <c r="G37" s="114" t="n">
        <f aca="false">E37/F$9</f>
        <v>0.000462944345204557</v>
      </c>
      <c r="H37" s="0" t="str">
        <f aca="false">SUBSTITUTE(A37," ","")</f>
        <v>소모품비</v>
      </c>
      <c r="I37" s="0" t="str">
        <f aca="false">H37&amp;"|"&amp;COUNTIF($H$9:H37,H37)</f>
        <v>소모품비|1</v>
      </c>
      <c r="J37" s="111" t="str">
        <f aca="false">IF($A37="","",IF(ISNUMBER(MATCH($I37,손익계산서!$G:$G,0)),"✓ 일치","⚠ 확인필요"))</f>
        <v>✓ 일치</v>
      </c>
      <c r="K37" s="112" t="n">
        <f aca="false">IFERROR(IF(OR(D37="",G37=""),"",D37-G37),"")</f>
        <v>0.000230009200157715</v>
      </c>
      <c r="M37" s="117" t="n">
        <f aca="false">(B37/$C$19)</f>
        <v>0.0071174047038403</v>
      </c>
      <c r="P37" s="118" t="n">
        <f aca="false">(E37/$F$19)</f>
        <v>0.00385784612216078</v>
      </c>
    </row>
    <row r="38" customFormat="false" ht="16.5" hidden="false" customHeight="true" outlineLevel="0" collapsed="false">
      <c r="A38" s="84" t="s">
        <v>164</v>
      </c>
      <c r="B38" s="113" t="n">
        <f aca="false">IFERROR(INDEX(손익계산서!$B:$B,MATCH($I38,손익계산서!$G:$G,0)),0)</f>
        <v>171886483</v>
      </c>
      <c r="C38" s="113" t="n">
        <f aca="false">IFERROR(INDEX(손익계산서!$C:$C,MATCH($I38,손익계산서!$G:$G,0)),0)</f>
        <v>0</v>
      </c>
      <c r="D38" s="114" t="n">
        <f aca="false">B38/$C$9</f>
        <v>0.00894621335192302</v>
      </c>
      <c r="E38" s="113" t="n">
        <f aca="false">IFERROR(INDEX(손익계산서!$D:$D,MATCH($I38,손익계산서!$G:$G,0)),0)</f>
        <v>292448219</v>
      </c>
      <c r="F38" s="113" t="n">
        <f aca="false">IFERROR(INDEX(손익계산서!$E:$E,MATCH($I38,손익계산서!$G:$G,0)),0)</f>
        <v>0</v>
      </c>
      <c r="G38" s="114" t="n">
        <f aca="false">E38/F$9</f>
        <v>0.00817814728860392</v>
      </c>
      <c r="H38" s="0" t="str">
        <f aca="false">SUBSTITUTE(A38," ","")</f>
        <v>지급수수료</v>
      </c>
      <c r="I38" s="0" t="str">
        <f aca="false">H38&amp;"|"&amp;COUNTIF($H$9:H38,H38)</f>
        <v>지급수수료|1</v>
      </c>
      <c r="J38" s="111" t="str">
        <f aca="false">IF($A38="","",IF(ISNUMBER(MATCH($I38,손익계산서!$G:$G,0)),"✓ 일치","⚠ 확인필요"))</f>
        <v>✓ 일치</v>
      </c>
      <c r="K38" s="112" t="n">
        <f aca="false">IFERROR(IF(OR(D38="",G38=""),"",D38-G38),"")</f>
        <v>0.000768066063319101</v>
      </c>
      <c r="M38" s="116" t="n">
        <f aca="false">(B38/$C$19)</f>
        <v>0.0918875751754001</v>
      </c>
      <c r="P38" s="116" t="n">
        <f aca="false">(E38/$F$19)</f>
        <v>0.0681508136574378</v>
      </c>
    </row>
    <row r="39" customFormat="false" ht="16.5" hidden="false" customHeight="true" outlineLevel="0" collapsed="false">
      <c r="A39" s="84" t="s">
        <v>165</v>
      </c>
      <c r="B39" s="113" t="n">
        <f aca="false">IFERROR(INDEX(손익계산서!$B:$B,MATCH($I39,손익계산서!$G:$G,0)),0)</f>
        <v>0</v>
      </c>
      <c r="C39" s="113" t="n">
        <f aca="false">IFERROR(INDEX(손익계산서!$C:$C,MATCH($I39,손익계산서!$G:$G,0)),0)</f>
        <v>0</v>
      </c>
      <c r="D39" s="114" t="n">
        <f aca="false">B39/$C$9</f>
        <v>0</v>
      </c>
      <c r="E39" s="113" t="n">
        <f aca="false">IFERROR(INDEX(손익계산서!$D:$D,MATCH($I39,손익계산서!$G:$G,0)),0)</f>
        <v>72371897</v>
      </c>
      <c r="F39" s="113" t="n">
        <f aca="false">IFERROR(INDEX(손익계산서!$E:$E,MATCH($I39,손익계산서!$G:$G,0)),0)</f>
        <v>0</v>
      </c>
      <c r="G39" s="114" t="n">
        <f aca="false">E39/F$9</f>
        <v>0.00202383873372698</v>
      </c>
      <c r="H39" s="0" t="str">
        <f aca="false">SUBSTITUTE(A39," ","")</f>
        <v>대손상각비</v>
      </c>
      <c r="I39" s="0" t="str">
        <f aca="false">H39&amp;"|"&amp;COUNTIF($H$9:H39,H39)</f>
        <v>대손상각비|1</v>
      </c>
      <c r="J39" s="111" t="str">
        <f aca="false">IF($A39="","",IF(ISNUMBER(MATCH($I39,손익계산서!$G:$G,0)),"✓ 일치","⚠ 확인필요"))</f>
        <v>✓ 일치</v>
      </c>
      <c r="K39" s="112" t="n">
        <f aca="false">IFERROR(IF(OR(D39="",G39=""),"",D39-G39),"")</f>
        <v>-0.00202383873372698</v>
      </c>
      <c r="M39" s="117" t="n">
        <f aca="false">(B39/$C$19)</f>
        <v>0</v>
      </c>
      <c r="P39" s="118" t="n">
        <f aca="false">(E39/$F$19)</f>
        <v>0.0168652203913141</v>
      </c>
    </row>
    <row r="40" customFormat="false" ht="16.5" hidden="false" customHeight="true" outlineLevel="0" collapsed="false">
      <c r="A40" s="84" t="s">
        <v>166</v>
      </c>
      <c r="B40" s="113" t="n">
        <f aca="false">IFERROR(INDEX(손익계산서!$B:$B,MATCH($I40,손익계산서!$G:$G,0)),0)</f>
        <v>968104</v>
      </c>
      <c r="C40" s="113" t="n">
        <f aca="false">IFERROR(INDEX(손익계산서!$C:$C,MATCH($I40,손익계산서!$G:$G,0)),0)</f>
        <v>0</v>
      </c>
      <c r="D40" s="114" t="n">
        <f aca="false">B40/$C$9</f>
        <v>5.03871204977187E-005</v>
      </c>
      <c r="E40" s="113" t="n">
        <f aca="false">IFERROR(INDEX(손익계산서!$D:$D,MATCH($I40,손익계산서!$G:$G,0)),0)</f>
        <v>3560788</v>
      </c>
      <c r="F40" s="113" t="n">
        <f aca="false">IFERROR(INDEX(손익계산서!$E:$E,MATCH($I40,손익계산서!$G:$G,0)),0)</f>
        <v>0</v>
      </c>
      <c r="G40" s="114" t="n">
        <f aca="false">E40/F$9</f>
        <v>9.95754011669784E-005</v>
      </c>
      <c r="H40" s="0" t="str">
        <f aca="false">SUBSTITUTE(A40," ","")</f>
        <v>수출제비용</v>
      </c>
      <c r="I40" s="0" t="str">
        <f aca="false">H40&amp;"|"&amp;COUNTIF($H$9:H40,H40)</f>
        <v>수출제비용|1</v>
      </c>
      <c r="J40" s="111" t="str">
        <f aca="false">IF($A40="","",IF(ISNUMBER(MATCH($I40,손익계산서!$G:$G,0)),"✓ 일치","⚠ 확인필요"))</f>
        <v>✓ 일치</v>
      </c>
      <c r="K40" s="112" t="n">
        <f aca="false">IFERROR(IF(OR(D40="",G40=""),"",D40-G40),"")</f>
        <v>-4.91882806692597E-005</v>
      </c>
      <c r="M40" s="117" t="n">
        <f aca="false">(B40/$C$19)</f>
        <v>0.000517531847327434</v>
      </c>
      <c r="P40" s="118" t="n">
        <f aca="false">(E40/$F$19)</f>
        <v>0.000829789972021135</v>
      </c>
    </row>
    <row r="41" customFormat="false" ht="17.25" hidden="false" customHeight="true" outlineLevel="0" collapsed="false">
      <c r="A41" s="91" t="s">
        <v>167</v>
      </c>
      <c r="B41" s="109" t="n">
        <f aca="false">IFERROR(INDEX(손익계산서!$B:$B,MATCH($I41,손익계산서!$G:$G,0)),0)</f>
        <v>0</v>
      </c>
      <c r="C41" s="109" t="n">
        <f aca="false">IFERROR(INDEX(손익계산서!$C:$C,MATCH($I41,손익계산서!$G:$G,0)),0)</f>
        <v>1541146366</v>
      </c>
      <c r="D41" s="110" t="n">
        <f aca="false">C41/C9</f>
        <v>0.0802123817774364</v>
      </c>
      <c r="E41" s="109" t="n">
        <f aca="false">IFERROR(INDEX(손익계산서!$D:$D,MATCH($I41,손익계산서!$G:$G,0)),0)</f>
        <v>0</v>
      </c>
      <c r="F41" s="109" t="n">
        <f aca="false">IFERROR(INDEX(손익계산서!$E:$E,MATCH($I41,손익계산서!$G:$G,0)),0)</f>
        <v>1622495810</v>
      </c>
      <c r="G41" s="110" t="n">
        <f aca="false">F41/F9</f>
        <v>0.045372167950603</v>
      </c>
      <c r="H41" s="0" t="str">
        <f aca="false">SUBSTITUTE(A41," ","")</f>
        <v>Ⅴ.영업이익</v>
      </c>
      <c r="I41" s="0" t="str">
        <f aca="false">H41&amp;"|"&amp;COUNTIF($H$9:H41,H41)</f>
        <v>Ⅴ.영업이익|1</v>
      </c>
      <c r="J41" s="111" t="str">
        <f aca="false">IF($A41="","",IF(ISNUMBER(MATCH($I41,손익계산서!$G:$G,0)),"✓ 일치","⚠ 확인필요"))</f>
        <v>✓ 일치</v>
      </c>
      <c r="K41" s="112" t="n">
        <f aca="false">IFERROR(IF(OR(D41="",G41=""),"",D41-G41),"")</f>
        <v>0.0348402138268335</v>
      </c>
    </row>
    <row r="42" customFormat="false" ht="16.5" hidden="false" customHeight="true" outlineLevel="0" collapsed="false">
      <c r="A42" s="91" t="s">
        <v>168</v>
      </c>
      <c r="B42" s="109" t="n">
        <f aca="false">IFERROR(INDEX(손익계산서!$B:$B,MATCH($I42,손익계산서!$G:$G,0)),0)</f>
        <v>0</v>
      </c>
      <c r="C42" s="109" t="n">
        <f aca="false">IFERROR(INDEX(손익계산서!$C:$C,MATCH($I42,손익계산서!$G:$G,0)),0)</f>
        <v>137001356</v>
      </c>
      <c r="D42" s="110" t="n">
        <f aca="false">C42/$C$9</f>
        <v>0.00713053952170723</v>
      </c>
      <c r="E42" s="109" t="n">
        <f aca="false">IFERROR(INDEX(손익계산서!$D:$D,MATCH($I42,손익계산서!$G:$G,0)),0)</f>
        <v>0</v>
      </c>
      <c r="F42" s="109" t="n">
        <f aca="false">IFERROR(INDEX(손익계산서!$E:$E,MATCH($I42,손익계산서!$G:$G,0)),0)</f>
        <v>213061525</v>
      </c>
      <c r="G42" s="110" t="n">
        <f aca="false">F42/$F$9</f>
        <v>0.0059581437662459</v>
      </c>
      <c r="H42" s="0" t="str">
        <f aca="false">SUBSTITUTE(A42," ","")</f>
        <v>Ⅵ.영업외수익</v>
      </c>
      <c r="I42" s="0" t="str">
        <f aca="false">H42&amp;"|"&amp;COUNTIF($H$9:H42,H42)</f>
        <v>Ⅵ.영업외수익|1</v>
      </c>
      <c r="J42" s="111" t="str">
        <f aca="false">IF($A42="","",IF(ISNUMBER(MATCH($I42,손익계산서!$G:$G,0)),"✓ 일치","⚠ 확인필요"))</f>
        <v>✓ 일치</v>
      </c>
      <c r="K42" s="112" t="n">
        <f aca="false">IFERROR(IF(OR(D42="",G42=""),"",D42-G42),"")</f>
        <v>0.00117239575546133</v>
      </c>
    </row>
    <row r="43" customFormat="false" ht="16.5" hidden="false" customHeight="true" outlineLevel="0" collapsed="false">
      <c r="A43" s="84" t="s">
        <v>169</v>
      </c>
      <c r="B43" s="113" t="n">
        <f aca="false">IFERROR(INDEX(손익계산서!$B:$B,MATCH($I43,손익계산서!$G:$G,0)),0)</f>
        <v>109296827</v>
      </c>
      <c r="C43" s="113" t="n">
        <f aca="false">IFERROR(INDEX(손익계산서!$C:$C,MATCH($I43,손익계산서!$G:$G,0)),0)</f>
        <v>0</v>
      </c>
      <c r="D43" s="114" t="n">
        <f aca="false">B43/$C$9</f>
        <v>0.00568859584514403</v>
      </c>
      <c r="E43" s="113" t="n">
        <f aca="false">IFERROR(INDEX(손익계산서!$D:$D,MATCH($I43,손익계산서!$G:$G,0)),0)</f>
        <v>191956603</v>
      </c>
      <c r="F43" s="113" t="n">
        <f aca="false">IFERROR(INDEX(손익계산서!$E:$E,MATCH($I43,손익계산서!$G:$G,0)),0)</f>
        <v>0</v>
      </c>
      <c r="G43" s="114" t="n">
        <f aca="false">E43/F$9</f>
        <v>0.00536795668553573</v>
      </c>
      <c r="H43" s="0" t="str">
        <f aca="false">SUBSTITUTE(A43," ","")</f>
        <v>이자수익</v>
      </c>
      <c r="I43" s="0" t="str">
        <f aca="false">H43&amp;"|"&amp;COUNTIF($H$9:H43,H43)</f>
        <v>이자수익|1</v>
      </c>
      <c r="J43" s="111" t="str">
        <f aca="false">IF($A43="","",IF(ISNUMBER(MATCH($I43,손익계산서!$G:$G,0)),"✓ 일치","⚠ 확인필요"))</f>
        <v>✓ 일치</v>
      </c>
      <c r="K43" s="112" t="n">
        <f aca="false">IFERROR(IF(OR(D43="",G43=""),"",D43-G43),"")</f>
        <v>0.000320639159608297</v>
      </c>
    </row>
    <row r="44" customFormat="false" ht="16.5" hidden="false" customHeight="true" outlineLevel="0" collapsed="false">
      <c r="A44" s="84" t="s">
        <v>170</v>
      </c>
      <c r="B44" s="113" t="n">
        <f aca="false">IFERROR(INDEX(손익계산서!$B:$B,MATCH($I44,손익계산서!$G:$G,0)),0)</f>
        <v>9493467</v>
      </c>
      <c r="C44" s="113" t="n">
        <f aca="false">IFERROR(INDEX(손익계산서!$C:$C,MATCH($I44,손익계산서!$G:$G,0)),0)</f>
        <v>0</v>
      </c>
      <c r="D44" s="114" t="n">
        <f aca="false">B44/$C$9</f>
        <v>0.000494108552046181</v>
      </c>
      <c r="E44" s="113" t="n">
        <f aca="false">IFERROR(INDEX(손익계산서!$D:$D,MATCH($I44,손익계산서!$G:$G,0)),0)</f>
        <v>94348</v>
      </c>
      <c r="F44" s="113" t="n">
        <f aca="false">IFERROR(INDEX(손익계산서!$E:$E,MATCH($I44,손익계산서!$G:$G,0)),0)</f>
        <v>0</v>
      </c>
      <c r="G44" s="114" t="n">
        <f aca="false">E44/F$9</f>
        <v>2.63838789315794E-006</v>
      </c>
      <c r="H44" s="0" t="str">
        <f aca="false">SUBSTITUTE(A44," ","")</f>
        <v>외환차익</v>
      </c>
      <c r="I44" s="0" t="str">
        <f aca="false">H44&amp;"|"&amp;COUNTIF($H$9:H44,H44)</f>
        <v>외환차익|1</v>
      </c>
      <c r="J44" s="111" t="str">
        <f aca="false">IF($A44="","",IF(ISNUMBER(MATCH($I44,손익계산서!$G:$G,0)),"✓ 일치","⚠ 확인필요"))</f>
        <v>✓ 일치</v>
      </c>
      <c r="K44" s="112" t="n">
        <f aca="false">IFERROR(IF(OR(D44="",G44=""),"",D44-G44),"")</f>
        <v>0.000491470164153023</v>
      </c>
    </row>
    <row r="45" customFormat="false" ht="16.5" hidden="false" customHeight="true" outlineLevel="0" collapsed="false">
      <c r="A45" s="84" t="s">
        <v>171</v>
      </c>
      <c r="B45" s="113" t="n">
        <f aca="false">IFERROR(INDEX(손익계산서!$B:$B,MATCH($I45,손익계산서!$G:$G,0)),0)</f>
        <v>0</v>
      </c>
      <c r="C45" s="113" t="n">
        <f aca="false">IFERROR(INDEX(손익계산서!$C:$C,MATCH($I45,손익계산서!$G:$G,0)),0)</f>
        <v>0</v>
      </c>
      <c r="D45" s="114" t="n">
        <f aca="false">B45/$C$9</f>
        <v>0</v>
      </c>
      <c r="E45" s="113" t="n">
        <f aca="false">IFERROR(INDEX(손익계산서!$D:$D,MATCH($I45,손익계산서!$G:$G,0)),0)</f>
        <v>0</v>
      </c>
      <c r="F45" s="113" t="n">
        <f aca="false">IFERROR(INDEX(손익계산서!$E:$E,MATCH($I45,손익계산서!$G:$G,0)),0)</f>
        <v>0</v>
      </c>
      <c r="G45" s="114" t="n">
        <f aca="false">E45/F$9</f>
        <v>0</v>
      </c>
      <c r="H45" s="0" t="str">
        <f aca="false">SUBSTITUTE(A45," ","")</f>
        <v>외화환산이익</v>
      </c>
      <c r="I45" s="0" t="str">
        <f aca="false">H45&amp;"|"&amp;COUNTIF($H$9:H45,H45)</f>
        <v>외화환산이익|1</v>
      </c>
      <c r="J45" s="111" t="str">
        <f aca="false">IF($A45="","",IF(ISNUMBER(MATCH($I45,손익계산서!$G:$G,0)),"✓ 일치","⚠ 확인필요"))</f>
        <v>⚠ 확인필요</v>
      </c>
      <c r="K45" s="112" t="n">
        <f aca="false">IFERROR(IF(OR(D45="",G45=""),"",D45-G45),"")</f>
        <v>0</v>
      </c>
    </row>
    <row r="46" customFormat="false" ht="16.5" hidden="false" customHeight="true" outlineLevel="0" collapsed="false">
      <c r="A46" s="84" t="s">
        <v>172</v>
      </c>
      <c r="B46" s="113" t="n">
        <f aca="false">IFERROR(INDEX(손익계산서!$B:$B,MATCH($I46,손익계산서!$G:$G,0)),0)</f>
        <v>7089909</v>
      </c>
      <c r="C46" s="113" t="n">
        <f aca="false">IFERROR(INDEX(손익계산서!$C:$C,MATCH($I46,손익계산서!$G:$G,0)),0)</f>
        <v>0</v>
      </c>
      <c r="D46" s="114" t="n">
        <f aca="false">B46/$C$9</f>
        <v>0.000369010043446634</v>
      </c>
      <c r="E46" s="113" t="n">
        <f aca="false">IFERROR(INDEX(손익계산서!$D:$D,MATCH($I46,손익계산서!$G:$G,0)),0)</f>
        <v>8659536</v>
      </c>
      <c r="F46" s="113" t="n">
        <f aca="false">IFERROR(INDEX(손익계산서!$E:$E,MATCH($I46,손익계산서!$G:$G,0)),0)</f>
        <v>0</v>
      </c>
      <c r="G46" s="114" t="n">
        <f aca="false">E46/F$9</f>
        <v>0.000242158974676361</v>
      </c>
      <c r="H46" s="0" t="str">
        <f aca="false">SUBSTITUTE(A46," ","")</f>
        <v>유형자산처분이익</v>
      </c>
      <c r="I46" s="0" t="str">
        <f aca="false">H46&amp;"|"&amp;COUNTIF($H$9:H46,H46)</f>
        <v>유형자산처분이익|1</v>
      </c>
      <c r="J46" s="111" t="str">
        <f aca="false">IF($A46="","",IF(ISNUMBER(MATCH($I46,손익계산서!$G:$G,0)),"✓ 일치","⚠ 확인필요"))</f>
        <v>✓ 일치</v>
      </c>
      <c r="K46" s="112" t="n">
        <f aca="false">IFERROR(IF(OR(D46="",G46=""),"",D46-G46),"")</f>
        <v>0.000126851068770273</v>
      </c>
    </row>
    <row r="47" customFormat="false" ht="16.5" hidden="false" customHeight="true" outlineLevel="0" collapsed="false">
      <c r="A47" s="84" t="s">
        <v>173</v>
      </c>
      <c r="B47" s="113" t="n">
        <f aca="false">IFERROR(INDEX(손익계산서!$B:$B,MATCH($I47,손익계산서!$G:$G,0)),0)</f>
        <v>0</v>
      </c>
      <c r="C47" s="113" t="n">
        <f aca="false">IFERROR(INDEX(손익계산서!$C:$C,MATCH($I47,손익계산서!$G:$G,0)),0)</f>
        <v>0</v>
      </c>
      <c r="D47" s="114" t="n">
        <f aca="false">B47/$C$9</f>
        <v>0</v>
      </c>
      <c r="E47" s="113" t="n">
        <f aca="false">IFERROR(INDEX(손익계산서!$D:$D,MATCH($I47,손익계산서!$G:$G,0)),0)</f>
        <v>0</v>
      </c>
      <c r="F47" s="113" t="n">
        <f aca="false">IFERROR(INDEX(손익계산서!$E:$E,MATCH($I47,손익계산서!$G:$G,0)),0)</f>
        <v>0</v>
      </c>
      <c r="G47" s="114" t="n">
        <f aca="false">E47/F$9</f>
        <v>0</v>
      </c>
      <c r="H47" s="0" t="str">
        <f aca="false">SUBSTITUTE(A47," ","")</f>
        <v>투자자산처분이익</v>
      </c>
      <c r="I47" s="0" t="str">
        <f aca="false">H47&amp;"|"&amp;COUNTIF($H$9:H47,H47)</f>
        <v>투자자산처분이익|1</v>
      </c>
      <c r="J47" s="111" t="str">
        <f aca="false">IF($A47="","",IF(ISNUMBER(MATCH($I47,손익계산서!$G:$G,0)),"✓ 일치","⚠ 확인필요"))</f>
        <v>⚠ 확인필요</v>
      </c>
      <c r="K47" s="112" t="n">
        <f aca="false">IFERROR(IF(OR(D47="",G47=""),"",D47-G47),"")</f>
        <v>0</v>
      </c>
    </row>
    <row r="48" customFormat="false" ht="16.5" hidden="false" customHeight="true" outlineLevel="0" collapsed="false">
      <c r="A48" s="84" t="s">
        <v>174</v>
      </c>
      <c r="B48" s="113" t="n">
        <f aca="false">IFERROR(INDEX(손익계산서!$B:$B,MATCH($I48,손익계산서!$G:$G,0)),0)</f>
        <v>0</v>
      </c>
      <c r="C48" s="113" t="n">
        <f aca="false">IFERROR(INDEX(손익계산서!$C:$C,MATCH($I48,손익계산서!$G:$G,0)),0)</f>
        <v>0</v>
      </c>
      <c r="D48" s="114" t="n">
        <f aca="false">B48/$C$9</f>
        <v>0</v>
      </c>
      <c r="E48" s="113" t="n">
        <f aca="false">IFERROR(INDEX(손익계산서!$D:$D,MATCH($I48,손익계산서!$G:$G,0)),0)</f>
        <v>0</v>
      </c>
      <c r="F48" s="113" t="n">
        <f aca="false">IFERROR(INDEX(손익계산서!$E:$E,MATCH($I48,손익계산서!$G:$G,0)),0)</f>
        <v>0</v>
      </c>
      <c r="G48" s="114" t="n">
        <f aca="false">E48/F$9</f>
        <v>0</v>
      </c>
      <c r="H48" s="0" t="str">
        <f aca="false">SUBSTITUTE(A48," ","")</f>
        <v>금융상품처분이익</v>
      </c>
      <c r="I48" s="0" t="str">
        <f aca="false">H48&amp;"|"&amp;COUNTIF($H$9:H48,H48)</f>
        <v>금융상품처분이익|1</v>
      </c>
      <c r="J48" s="111" t="str">
        <f aca="false">IF($A48="","",IF(ISNUMBER(MATCH($I48,손익계산서!$G:$G,0)),"✓ 일치","⚠ 확인필요"))</f>
        <v>⚠ 확인필요</v>
      </c>
      <c r="K48" s="112" t="n">
        <f aca="false">IFERROR(IF(OR(D48="",G48=""),"",D48-G48),"")</f>
        <v>0</v>
      </c>
    </row>
    <row r="49" customFormat="false" ht="16.5" hidden="false" customHeight="true" outlineLevel="0" collapsed="false">
      <c r="A49" s="84" t="s">
        <v>175</v>
      </c>
      <c r="B49" s="113" t="n">
        <f aca="false">IFERROR(INDEX(손익계산서!$B:$B,MATCH($I49,손익계산서!$G:$G,0)),0)</f>
        <v>11121153</v>
      </c>
      <c r="C49" s="113" t="n">
        <f aca="false">IFERROR(INDEX(손익계산서!$C:$C,MATCH($I49,손익계산서!$G:$G,0)),0)</f>
        <v>0</v>
      </c>
      <c r="D49" s="114" t="n">
        <f aca="false">B49/$C$9</f>
        <v>0.000578825081070387</v>
      </c>
      <c r="E49" s="113" t="n">
        <f aca="false">IFERROR(INDEX(손익계산서!$D:$D,MATCH($I49,손익계산서!$G:$G,0)),0)</f>
        <v>12351038</v>
      </c>
      <c r="F49" s="113" t="n">
        <f aca="false">IFERROR(INDEX(손익계산서!$E:$E,MATCH($I49,손익계산서!$G:$G,0)),0)</f>
        <v>0</v>
      </c>
      <c r="G49" s="114" t="n">
        <f aca="false">E49/F$9</f>
        <v>0.000345389718140646</v>
      </c>
      <c r="H49" s="0" t="str">
        <f aca="false">SUBSTITUTE(A49," ","")</f>
        <v>잡이익</v>
      </c>
      <c r="I49" s="0" t="str">
        <f aca="false">H49&amp;"|"&amp;COUNTIF($H$9:H49,H49)</f>
        <v>잡이익|1</v>
      </c>
      <c r="J49" s="111" t="str">
        <f aca="false">IF($A49="","",IF(ISNUMBER(MATCH($I49,손익계산서!$G:$G,0)),"✓ 일치","⚠ 확인필요"))</f>
        <v>✓ 일치</v>
      </c>
      <c r="K49" s="112" t="n">
        <f aca="false">IFERROR(IF(OR(D49="",G49=""),"",D49-G49),"")</f>
        <v>0.000233435362929741</v>
      </c>
    </row>
    <row r="50" customFormat="false" ht="16.5" hidden="false" customHeight="true" outlineLevel="0" collapsed="false">
      <c r="A50" s="91" t="s">
        <v>176</v>
      </c>
      <c r="B50" s="109" t="n">
        <f aca="false">IFERROR(INDEX(손익계산서!$B:$B,MATCH($I50,손익계산서!$G:$G,0)),0)</f>
        <v>0</v>
      </c>
      <c r="C50" s="109" t="n">
        <f aca="false">IFERROR(INDEX(손익계산서!$C:$C,MATCH($I50,손익계산서!$G:$G,0)),0)</f>
        <v>1313475</v>
      </c>
      <c r="D50" s="110" t="n">
        <f aca="false">C50/$C$9</f>
        <v>6.83627204264636E-005</v>
      </c>
      <c r="E50" s="109" t="n">
        <f aca="false">IFERROR(INDEX(손익계산서!$D:$D,MATCH($I50,손익계산서!$G:$G,0)),0)</f>
        <v>0</v>
      </c>
      <c r="F50" s="109" t="n">
        <f aca="false">IFERROR(INDEX(손익계산서!$E:$E,MATCH($I50,손익계산서!$G:$G,0)),0)</f>
        <v>14528746</v>
      </c>
      <c r="G50" s="110" t="n">
        <f aca="false">F50/F$9</f>
        <v>0.000406288077639874</v>
      </c>
      <c r="H50" s="0" t="str">
        <f aca="false">SUBSTITUTE(A50," ","")</f>
        <v>Ⅶ.영업외비용</v>
      </c>
      <c r="I50" s="0" t="str">
        <f aca="false">H50&amp;"|"&amp;COUNTIF($H$9:H50,H50)</f>
        <v>Ⅶ.영업외비용|1</v>
      </c>
      <c r="J50" s="111" t="str">
        <f aca="false">IF($A50="","",IF(ISNUMBER(MATCH($I50,손익계산서!$G:$G,0)),"✓ 일치","⚠ 확인필요"))</f>
        <v>✓ 일치</v>
      </c>
      <c r="K50" s="112" t="n">
        <f aca="false">IFERROR(IF(OR(D50="",G50=""),"",D50-G50),"")</f>
        <v>-0.000337925357213411</v>
      </c>
    </row>
    <row r="51" customFormat="false" ht="16.5" hidden="false" customHeight="true" outlineLevel="0" collapsed="false">
      <c r="A51" s="84" t="s">
        <v>177</v>
      </c>
      <c r="B51" s="113" t="n">
        <f aca="false">IFERROR(INDEX(손익계산서!$B:$B,MATCH($I51,손익계산서!$G:$G,0)),0)</f>
        <v>0</v>
      </c>
      <c r="C51" s="113" t="n">
        <f aca="false">IFERROR(INDEX(손익계산서!$C:$C,MATCH($I51,손익계산서!$G:$G,0)),0)</f>
        <v>0</v>
      </c>
      <c r="D51" s="114" t="n">
        <f aca="false">B51/$C$9</f>
        <v>0</v>
      </c>
      <c r="E51" s="113" t="n">
        <f aca="false">IFERROR(INDEX(손익계산서!$D:$D,MATCH($I51,손익계산서!$G:$G,0)),0)</f>
        <v>0</v>
      </c>
      <c r="F51" s="113" t="n">
        <f aca="false">IFERROR(INDEX(손익계산서!$E:$E,MATCH($I51,손익계산서!$G:$G,0)),0)</f>
        <v>0</v>
      </c>
      <c r="G51" s="114" t="n">
        <f aca="false">E51/F$9</f>
        <v>0</v>
      </c>
      <c r="H51" s="0" t="str">
        <f aca="false">SUBSTITUTE(A51," ","")</f>
        <v>이자비용</v>
      </c>
      <c r="I51" s="0" t="str">
        <f aca="false">H51&amp;"|"&amp;COUNTIF($H$9:H51,H51)</f>
        <v>이자비용|1</v>
      </c>
      <c r="J51" s="111" t="str">
        <f aca="false">IF($A51="","",IF(ISNUMBER(MATCH($I51,손익계산서!$G:$G,0)),"✓ 일치","⚠ 확인필요"))</f>
        <v>⚠ 확인필요</v>
      </c>
      <c r="K51" s="112" t="n">
        <f aca="false">IFERROR(IF(OR(D51="",G51=""),"",D51-G51),"")</f>
        <v>0</v>
      </c>
    </row>
    <row r="52" customFormat="false" ht="16.5" hidden="false" customHeight="true" outlineLevel="0" collapsed="false">
      <c r="A52" s="84" t="s">
        <v>178</v>
      </c>
      <c r="B52" s="113" t="n">
        <f aca="false">IFERROR(INDEX(손익계산서!$B:$B,MATCH($I52,손익계산서!$G:$G,0)),0)</f>
        <v>1131469</v>
      </c>
      <c r="C52" s="113" t="n">
        <f aca="false">IFERROR(INDEX(손익계산서!$C:$C,MATCH($I52,손익계산서!$G:$G,0)),0)</f>
        <v>0</v>
      </c>
      <c r="D52" s="114" t="n">
        <f aca="false">B52/$C$9</f>
        <v>5.88898143613014E-005</v>
      </c>
      <c r="E52" s="113" t="n">
        <f aca="false">IFERROR(INDEX(손익계산서!$D:$D,MATCH($I52,손익계산서!$G:$G,0)),0)</f>
        <v>1282550</v>
      </c>
      <c r="F52" s="113" t="n">
        <f aca="false">IFERROR(INDEX(손익계산서!$E:$E,MATCH($I52,손익계산서!$G:$G,0)),0)</f>
        <v>0</v>
      </c>
      <c r="G52" s="114" t="n">
        <f aca="false">E52/F$9</f>
        <v>3.58657776780612E-005</v>
      </c>
      <c r="H52" s="0" t="str">
        <f aca="false">SUBSTITUTE(A52," ","")</f>
        <v>외환차손</v>
      </c>
      <c r="I52" s="0" t="str">
        <f aca="false">H52&amp;"|"&amp;COUNTIF($H$9:H52,H52)</f>
        <v>외환차손|1</v>
      </c>
      <c r="J52" s="111" t="str">
        <f aca="false">IF($A52="","",IF(ISNUMBER(MATCH($I52,손익계산서!$G:$G,0)),"✓ 일치","⚠ 확인필요"))</f>
        <v>✓ 일치</v>
      </c>
      <c r="K52" s="112" t="n">
        <f aca="false">IFERROR(IF(OR(D52="",G52=""),"",D52-G52),"")</f>
        <v>2.30240366832402E-005</v>
      </c>
    </row>
    <row r="53" customFormat="false" ht="16.5" hidden="false" customHeight="true" outlineLevel="0" collapsed="false">
      <c r="A53" s="84" t="s">
        <v>179</v>
      </c>
      <c r="B53" s="113" t="n">
        <f aca="false">IFERROR(INDEX(손익계산서!$B:$B,MATCH($I53,손익계산서!$G:$G,0)),0)</f>
        <v>0</v>
      </c>
      <c r="C53" s="113" t="n">
        <f aca="false">IFERROR(INDEX(손익계산서!$C:$C,MATCH($I53,손익계산서!$G:$G,0)),0)</f>
        <v>0</v>
      </c>
      <c r="D53" s="114" t="n">
        <f aca="false">B53/$C$9</f>
        <v>0</v>
      </c>
      <c r="E53" s="113" t="n">
        <f aca="false">IFERROR(INDEX(손익계산서!$D:$D,MATCH($I53,손익계산서!$G:$G,0)),0)</f>
        <v>12939378</v>
      </c>
      <c r="F53" s="113" t="n">
        <f aca="false">IFERROR(INDEX(손익계산서!$E:$E,MATCH($I53,손익계산서!$G:$G,0)),0)</f>
        <v>0</v>
      </c>
      <c r="G53" s="114" t="n">
        <f aca="false">E53/F$9</f>
        <v>0.000361842309960934</v>
      </c>
      <c r="H53" s="0" t="str">
        <f aca="false">SUBSTITUTE(A53," ","")</f>
        <v>외화환산손실</v>
      </c>
      <c r="I53" s="0" t="str">
        <f aca="false">H53&amp;"|"&amp;COUNTIF($H$9:H53,H53)</f>
        <v>외화환산손실|1</v>
      </c>
      <c r="J53" s="111" t="str">
        <f aca="false">IF($A53="","",IF(ISNUMBER(MATCH($I53,손익계산서!$G:$G,0)),"✓ 일치","⚠ 확인필요"))</f>
        <v>✓ 일치</v>
      </c>
      <c r="K53" s="112" t="n">
        <f aca="false">IFERROR(IF(OR(D53="",G53=""),"",D53-G53),"")</f>
        <v>-0.000361842309960934</v>
      </c>
    </row>
    <row r="54" customFormat="false" ht="16.5" hidden="false" customHeight="true" outlineLevel="0" collapsed="false">
      <c r="A54" s="84" t="s">
        <v>180</v>
      </c>
      <c r="B54" s="113" t="n">
        <f aca="false">IFERROR(INDEX(손익계산서!$B:$B,MATCH($I54,손익계산서!$G:$G,0)),0)</f>
        <v>0</v>
      </c>
      <c r="C54" s="113" t="n">
        <f aca="false">IFERROR(INDEX(손익계산서!$C:$C,MATCH($I54,손익계산서!$G:$G,0)),0)</f>
        <v>0</v>
      </c>
      <c r="D54" s="114" t="n">
        <f aca="false">B54/$C$9</f>
        <v>0</v>
      </c>
      <c r="E54" s="113" t="n">
        <f aca="false">IFERROR(INDEX(손익계산서!$D:$D,MATCH($I54,손익계산서!$G:$G,0)),0)</f>
        <v>0</v>
      </c>
      <c r="F54" s="113" t="n">
        <f aca="false">IFERROR(INDEX(손익계산서!$E:$E,MATCH($I54,손익계산서!$G:$G,0)),0)</f>
        <v>0</v>
      </c>
      <c r="G54" s="114" t="n">
        <f aca="false">E54/F$9</f>
        <v>0</v>
      </c>
      <c r="H54" s="0" t="str">
        <f aca="false">SUBSTITUTE(A54," ","")</f>
        <v>금융상품평가손실</v>
      </c>
      <c r="I54" s="0" t="str">
        <f aca="false">H54&amp;"|"&amp;COUNTIF($H$9:H54,H54)</f>
        <v>금융상품평가손실|1</v>
      </c>
      <c r="J54" s="111" t="str">
        <f aca="false">IF($A54="","",IF(ISNUMBER(MATCH($I54,손익계산서!$G:$G,0)),"✓ 일치","⚠ 확인필요"))</f>
        <v>⚠ 확인필요</v>
      </c>
      <c r="K54" s="112" t="n">
        <f aca="false">IFERROR(IF(OR(D54="",G54=""),"",D54-G54),"")</f>
        <v>0</v>
      </c>
    </row>
    <row r="55" customFormat="false" ht="16.5" hidden="false" customHeight="true" outlineLevel="0" collapsed="false">
      <c r="A55" s="119" t="s">
        <v>181</v>
      </c>
      <c r="B55" s="113" t="n">
        <f aca="false">IFERROR(INDEX(손익계산서!$B:$B,MATCH($I55,손익계산서!$G:$G,0)),0)</f>
        <v>2000</v>
      </c>
      <c r="C55" s="113" t="n">
        <f aca="false">IFERROR(INDEX(손익계산서!$C:$C,MATCH($I55,손익계산서!$G:$G,0)),0)</f>
        <v>0</v>
      </c>
      <c r="D55" s="114" t="n">
        <f aca="false">B55/$C$9</f>
        <v>1.04094437163195E-007</v>
      </c>
      <c r="E55" s="113" t="n">
        <f aca="false">IFERROR(INDEX(손익계산서!$D:$D,MATCH($I55,손익계산서!$G:$G,0)),0)</f>
        <v>0</v>
      </c>
      <c r="F55" s="113" t="n">
        <f aca="false">IFERROR(INDEX(손익계산서!$E:$E,MATCH($I55,손익계산서!$G:$G,0)),0)</f>
        <v>0</v>
      </c>
      <c r="G55" s="114" t="n">
        <f aca="false">E55/F$9</f>
        <v>0</v>
      </c>
      <c r="H55" s="0" t="str">
        <f aca="false">SUBSTITUTE(A55," ","")</f>
        <v>유형자산처분손실</v>
      </c>
      <c r="I55" s="0" t="str">
        <f aca="false">H55&amp;"|"&amp;COUNTIF($H$9:H55,H55)</f>
        <v>유형자산처분손실|1</v>
      </c>
      <c r="J55" s="111" t="str">
        <f aca="false">IF($A55="","",IF(ISNUMBER(MATCH($I55,손익계산서!$G:$G,0)),"✓ 일치","⚠ 확인필요"))</f>
        <v>✓ 일치</v>
      </c>
      <c r="K55" s="112" t="n">
        <f aca="false">IFERROR(IF(OR(D55="",G55=""),"",D55-G55),"")</f>
        <v>1.04094437163195E-007</v>
      </c>
    </row>
    <row r="56" customFormat="false" ht="16.5" hidden="false" customHeight="true" outlineLevel="0" collapsed="false">
      <c r="A56" s="84" t="s">
        <v>182</v>
      </c>
      <c r="B56" s="113" t="n">
        <f aca="false">IFERROR(INDEX(손익계산서!$B:$B,MATCH($I56,손익계산서!$G:$G,0)),0)</f>
        <v>180006</v>
      </c>
      <c r="C56" s="113" t="n">
        <f aca="false">IFERROR(INDEX(손익계산서!$C:$C,MATCH($I56,손익계산서!$G:$G,0)),0)</f>
        <v>0</v>
      </c>
      <c r="D56" s="114" t="n">
        <f aca="false">B56/$C$9</f>
        <v>9.36881162799901E-006</v>
      </c>
      <c r="E56" s="113" t="n">
        <f aca="false">IFERROR(INDEX(손익계산서!$D:$D,MATCH($I56,손익계산서!$G:$G,0)),0)</f>
        <v>306818</v>
      </c>
      <c r="F56" s="113" t="n">
        <f aca="false">IFERROR(INDEX(손익계산서!$E:$E,MATCH($I56,손익계산서!$G:$G,0)),0)</f>
        <v>0</v>
      </c>
      <c r="G56" s="114" t="n">
        <f aca="false">E56/F$9</f>
        <v>8.57999000087902E-006</v>
      </c>
      <c r="H56" s="0" t="str">
        <f aca="false">SUBSTITUTE(A56," ","")</f>
        <v>잡손실</v>
      </c>
      <c r="I56" s="0" t="str">
        <f aca="false">H56&amp;"|"&amp;COUNTIF($H$9:H56,H56)</f>
        <v>잡손실|1</v>
      </c>
      <c r="J56" s="111" t="str">
        <f aca="false">IF($A56="","",IF(ISNUMBER(MATCH($I56,손익계산서!$G:$G,0)),"✓ 일치","⚠ 확인필요"))</f>
        <v>✓ 일치</v>
      </c>
      <c r="K56" s="112" t="n">
        <f aca="false">IFERROR(IF(OR(D56="",G56=""),"",D56-G56),"")</f>
        <v>7.88821627119998E-007</v>
      </c>
    </row>
    <row r="57" customFormat="false" ht="16.5" hidden="false" customHeight="true" outlineLevel="0" collapsed="false">
      <c r="A57" s="84" t="s">
        <v>183</v>
      </c>
      <c r="B57" s="113" t="n">
        <f aca="false">IFERROR(INDEX(손익계산서!$B:$B,MATCH($I57,손익계산서!$G:$G,0)),0)</f>
        <v>0</v>
      </c>
      <c r="C57" s="113" t="n">
        <f aca="false">IFERROR(INDEX(손익계산서!$C:$C,MATCH($I57,손익계산서!$G:$G,0)),0)</f>
        <v>0</v>
      </c>
      <c r="D57" s="114" t="n">
        <f aca="false">B57/$C$9</f>
        <v>0</v>
      </c>
      <c r="E57" s="113" t="n">
        <f aca="false">IFERROR(INDEX(손익계산서!$D:$D,MATCH($I57,손익계산서!$G:$G,0)),0)</f>
        <v>0</v>
      </c>
      <c r="F57" s="113" t="n">
        <f aca="false">IFERROR(INDEX(손익계산서!$E:$E,MATCH($I57,손익계산서!$G:$G,0)),0)</f>
        <v>0</v>
      </c>
      <c r="G57" s="114" t="n">
        <f aca="false">E57/F$9</f>
        <v>0</v>
      </c>
      <c r="H57" s="0" t="str">
        <f aca="false">SUBSTITUTE(A57," ","")</f>
        <v>법인세추납액</v>
      </c>
      <c r="I57" s="0" t="str">
        <f aca="false">H57&amp;"|"&amp;COUNTIF($H$9:H57,H57)</f>
        <v>법인세추납액|1</v>
      </c>
      <c r="J57" s="111" t="str">
        <f aca="false">IF($A57="","",IF(ISNUMBER(MATCH($I57,손익계산서!$G:$G,0)),"✓ 일치","⚠ 확인필요"))</f>
        <v>⚠ 확인필요</v>
      </c>
      <c r="K57" s="112" t="n">
        <f aca="false">IFERROR(IF(OR(D57="",G57=""),"",D57-G57),"")</f>
        <v>0</v>
      </c>
    </row>
    <row r="58" customFormat="false" ht="17.25" hidden="false" customHeight="true" outlineLevel="0" collapsed="false">
      <c r="A58" s="91" t="s">
        <v>184</v>
      </c>
      <c r="B58" s="109" t="n">
        <f aca="false">IFERROR(INDEX(손익계산서!$B:$B,MATCH($I58,손익계산서!$G:$G,0)),0)</f>
        <v>0</v>
      </c>
      <c r="C58" s="109" t="n">
        <f aca="false">IFERROR(INDEX(손익계산서!$C:$C,MATCH($I58,손익계산서!$G:$G,0)),0)</f>
        <v>1676834247</v>
      </c>
      <c r="D58" s="110" t="n">
        <f aca="false">C58/C9</f>
        <v>0.0872745585787172</v>
      </c>
      <c r="E58" s="109" t="n">
        <f aca="false">IFERROR(INDEX(손익계산서!$D:$D,MATCH($I58,손익계산서!$G:$G,0)),0)</f>
        <v>0</v>
      </c>
      <c r="F58" s="109" t="n">
        <f aca="false">IFERROR(INDEX(손익계산서!$E:$E,MATCH($I58,손익계산서!$G:$G,0)),0)</f>
        <v>1821028589</v>
      </c>
      <c r="G58" s="110" t="n">
        <f aca="false">F58/F9</f>
        <v>0.050924023639209</v>
      </c>
      <c r="H58" s="0" t="str">
        <f aca="false">SUBSTITUTE(A58," ","")</f>
        <v>Ⅷ.법인세비용차감전순이익</v>
      </c>
      <c r="I58" s="0" t="str">
        <f aca="false">H58&amp;"|"&amp;COUNTIF($H$9:H58,H58)</f>
        <v>Ⅷ.법인세비용차감전순이익|1</v>
      </c>
      <c r="J58" s="111" t="str">
        <f aca="false">IF($A58="","",IF(ISNUMBER(MATCH($I58,손익계산서!$G:$G,0)),"✓ 일치","⚠ 확인필요"))</f>
        <v>✓ 일치</v>
      </c>
      <c r="K58" s="112" t="n">
        <f aca="false">IFERROR(IF(OR(D58="",G58=""),"",D58-G58),"")</f>
        <v>0.0363505349395082</v>
      </c>
    </row>
    <row r="59" customFormat="false" ht="16.5" hidden="false" customHeight="true" outlineLevel="0" collapsed="false">
      <c r="A59" s="91" t="s">
        <v>185</v>
      </c>
      <c r="B59" s="109" t="n">
        <f aca="false">IFERROR(INDEX(손익계산서!$B:$B,MATCH($I59,손익계산서!$G:$G,0)),0)</f>
        <v>0</v>
      </c>
      <c r="C59" s="109" t="n">
        <f aca="false">IFERROR(INDEX(손익계산서!$C:$C,MATCH($I59,손익계산서!$G:$G,0)),0)</f>
        <v>0</v>
      </c>
      <c r="D59" s="110" t="n">
        <f aca="false">C59/C9</f>
        <v>0</v>
      </c>
      <c r="E59" s="109" t="n">
        <f aca="false">IFERROR(INDEX(손익계산서!$D:$D,MATCH($I59,손익계산서!$G:$G,0)),0)</f>
        <v>0</v>
      </c>
      <c r="F59" s="109" t="n">
        <f aca="false">IFERROR(INDEX(손익계산서!$E:$E,MATCH($I59,손익계산서!$G:$G,0)),0)</f>
        <v>408545770</v>
      </c>
      <c r="G59" s="110" t="n">
        <f aca="false">F59/F9</f>
        <v>0.011424748944004</v>
      </c>
      <c r="H59" s="0" t="str">
        <f aca="false">SUBSTITUTE(A59," ","")</f>
        <v>Ⅸ.법인세비용</v>
      </c>
      <c r="I59" s="0" t="str">
        <f aca="false">H59&amp;"|"&amp;COUNTIF($H$9:H59,H59)</f>
        <v>Ⅸ.법인세비용|1</v>
      </c>
      <c r="J59" s="111" t="str">
        <f aca="false">IF($A59="","",IF(ISNUMBER(MATCH($I59,손익계산서!$G:$G,0)),"✓ 일치","⚠ 확인필요"))</f>
        <v>✓ 일치</v>
      </c>
      <c r="K59" s="112" t="n">
        <f aca="false">IFERROR(IF(OR(D59="",G59=""),"",D59-G59),"")</f>
        <v>-0.011424748944004</v>
      </c>
    </row>
    <row r="60" customFormat="false" ht="16.5" hidden="false" customHeight="true" outlineLevel="0" collapsed="false">
      <c r="A60" s="84" t="s">
        <v>186</v>
      </c>
      <c r="B60" s="113" t="n">
        <f aca="false">IFERROR(INDEX(손익계산서!$B:$B,MATCH($I60,손익계산서!$G:$G,0)),0)</f>
        <v>0</v>
      </c>
      <c r="C60" s="113" t="n">
        <f aca="false">IFERROR(INDEX(손익계산서!$C:$C,MATCH($I60,손익계산서!$G:$G,0)),0)</f>
        <v>0</v>
      </c>
      <c r="D60" s="114"/>
      <c r="E60" s="113" t="n">
        <f aca="false">IFERROR(INDEX(손익계산서!$D:$D,MATCH($I60,손익계산서!$G:$G,0)),0)</f>
        <v>408545770</v>
      </c>
      <c r="F60" s="113" t="n">
        <f aca="false">IFERROR(INDEX(손익계산서!$E:$E,MATCH($I60,손익계산서!$G:$G,0)),0)</f>
        <v>0</v>
      </c>
      <c r="G60" s="114"/>
      <c r="H60" s="0" t="str">
        <f aca="false">SUBSTITUTE(A60," ","")</f>
        <v>법인세등</v>
      </c>
      <c r="I60" s="0" t="str">
        <f aca="false">H60&amp;"|"&amp;COUNTIF($H$9:H60,H60)</f>
        <v>법인세등|1</v>
      </c>
      <c r="J60" s="111" t="str">
        <f aca="false">IF($A60="","",IF(ISNUMBER(MATCH($I60,손익계산서!$G:$G,0)),"✓ 일치","⚠ 확인필요"))</f>
        <v>✓ 일치</v>
      </c>
      <c r="K60" s="112" t="str">
        <f aca="false">IFERROR(IF(OR(D60="",G60=""),"",D60-G60),"")</f>
        <v/>
      </c>
    </row>
    <row r="61" customFormat="false" ht="17.25" hidden="false" customHeight="true" outlineLevel="0" collapsed="false">
      <c r="A61" s="91" t="s">
        <v>187</v>
      </c>
      <c r="B61" s="109" t="n">
        <f aca="false">IFERROR(INDEX(손익계산서!$B:$B,MATCH($I61,손익계산서!$G:$G,0)),0)</f>
        <v>0</v>
      </c>
      <c r="C61" s="109" t="n">
        <f aca="false">IFERROR(INDEX(손익계산서!$C:$C,MATCH($I61,손익계산서!$G:$G,0)),0)</f>
        <v>1676834247</v>
      </c>
      <c r="D61" s="110" t="n">
        <f aca="false">C61/C9</f>
        <v>0.0872745585787172</v>
      </c>
      <c r="E61" s="109" t="n">
        <f aca="false">IFERROR(INDEX(손익계산서!$D:$D,MATCH($I61,손익계산서!$G:$G,0)),0)</f>
        <v>0</v>
      </c>
      <c r="F61" s="109" t="n">
        <f aca="false">IFERROR(INDEX(손익계산서!$E:$E,MATCH($I61,손익계산서!$G:$G,0)),0)</f>
        <v>1412482819</v>
      </c>
      <c r="G61" s="110" t="n">
        <f aca="false">F61/F9</f>
        <v>0.039499274695205</v>
      </c>
      <c r="H61" s="0" t="str">
        <f aca="false">SUBSTITUTE(A61," ","")</f>
        <v>Ⅹ.당기순이익</v>
      </c>
      <c r="I61" s="0" t="str">
        <f aca="false">H61&amp;"|"&amp;COUNTIF($H$9:H61,H61)</f>
        <v>Ⅹ.당기순이익|1</v>
      </c>
      <c r="J61" s="111" t="str">
        <f aca="false">IF($A61="","",IF(ISNUMBER(MATCH($I61,손익계산서!$G:$G,0)),"✓ 일치","⚠ 확인필요"))</f>
        <v>✓ 일치</v>
      </c>
      <c r="K61" s="112" t="n">
        <f aca="false">IFERROR(IF(OR(D61="",G61=""),"",D61-G61),"")</f>
        <v>0.0477752838835122</v>
      </c>
    </row>
  </sheetData>
  <mergeCells count="10">
    <mergeCell ref="A1:G1"/>
    <mergeCell ref="A3:G3"/>
    <mergeCell ref="A4:G4"/>
    <mergeCell ref="A7:A8"/>
    <mergeCell ref="B7:C7"/>
    <mergeCell ref="D7:D8"/>
    <mergeCell ref="E7:F7"/>
    <mergeCell ref="G7:G8"/>
    <mergeCell ref="B8:C8"/>
    <mergeCell ref="E8:F8"/>
  </mergeCells>
  <conditionalFormatting sqref="K9:K6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  <cfRule type="expression" priority="4" aboveAverage="0" equalAverage="0" bottom="0" percent="0" rank="0" text="" dxfId="2">
      <formula>ABS($K9)&gt;0.02</formula>
    </cfRule>
  </conditionalFormatting>
  <conditionalFormatting sqref="J9:J61">
    <cfRule type="expression" priority="5" aboveAverage="0" equalAverage="0" bottom="0" percent="0" rank="0" text="" dxfId="3">
      <formula>$J9="✓ 일치"</formula>
    </cfRule>
    <cfRule type="expression" priority="6" aboveAverage="0" equalAverage="0" bottom="0" percent="0" rank="0" text="" dxfId="4">
      <formula>$J9="⚠ 확인필요"</formula>
    </cfRule>
  </conditionalFormatting>
  <printOptions headings="false" gridLines="false" gridLinesSet="true" horizontalCentered="true" verticalCentered="false"/>
  <pageMargins left="0.511805555555556" right="0.511805555555556" top="0.590277777777778" bottom="0.354861111111111" header="0.511811023622047" footer="0.315277777777778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false"/>
  </sheetPr>
  <dimension ref="A1:Q55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M40" activeCellId="0" sqref="M40"/>
    </sheetView>
  </sheetViews>
  <sheetFormatPr defaultColWidth="9.16796875" defaultRowHeight="11.25" zeroHeight="false" outlineLevelRow="0" outlineLevelCol="0"/>
  <cols>
    <col collapsed="false" customWidth="true" hidden="false" outlineLevel="0" max="1" min="1" style="0" width="30"/>
    <col collapsed="false" customWidth="true" hidden="true" outlineLevel="0" max="8" min="2" style="0" width="20"/>
    <col collapsed="false" customWidth="true" hidden="false" outlineLevel="0" max="10" min="9" style="0" width="22"/>
    <col collapsed="false" customWidth="true" hidden="false" outlineLevel="0" max="11" min="11" style="0" width="19.17"/>
    <col collapsed="false" customWidth="true" hidden="false" outlineLevel="0" max="12" min="12" style="120" width="13"/>
    <col collapsed="false" customWidth="true" hidden="false" outlineLevel="0" max="13" min="13" style="5" width="68.67"/>
    <col collapsed="false" customWidth="true" hidden="true" outlineLevel="0" max="15" min="14" style="0" width="13"/>
    <col collapsed="false" customWidth="true" hidden="true" outlineLevel="0" max="16" min="16" style="0" width="12"/>
    <col collapsed="false" customWidth="true" hidden="true" outlineLevel="0" max="17" min="17" style="0" width="11"/>
  </cols>
  <sheetData>
    <row r="1" customFormat="false" ht="24" hidden="false" customHeight="true" outlineLevel="0" collapsed="false">
      <c r="A1" s="75" t="str">
        <f aca="false">"손익계산서(전월대비 증감내역)"</f>
        <v>손익계산서(전월대비 증감내역)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</row>
    <row r="2" customFormat="false" ht="7.5" hidden="false" customHeight="true" outlineLevel="0" collapsed="false"/>
    <row r="3" customFormat="false" ht="18.75" hidden="false" customHeight="true" outlineLevel="0" collapsed="false">
      <c r="A3" s="121" t="str">
        <f aca="false"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2026년05월01일부터 - 2026년06월30일까지</v>
      </c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</row>
    <row r="5" customFormat="false" ht="11.25" hidden="false" customHeight="true" outlineLevel="0" collapsed="false">
      <c r="A5" s="80" t="s">
        <v>45</v>
      </c>
      <c r="M5" s="122" t="s">
        <v>46</v>
      </c>
    </row>
    <row r="6" customFormat="false" ht="35.25" hidden="false" customHeight="true" outlineLevel="0" collapsed="false">
      <c r="A6" s="82" t="s">
        <v>47</v>
      </c>
      <c r="B6" s="82" t="s">
        <v>188</v>
      </c>
      <c r="C6" s="82" t="s">
        <v>189</v>
      </c>
      <c r="D6" s="82" t="s">
        <v>190</v>
      </c>
      <c r="E6" s="82" t="s">
        <v>191</v>
      </c>
      <c r="F6" s="82" t="s">
        <v>192</v>
      </c>
      <c r="G6" s="82" t="s">
        <v>193</v>
      </c>
      <c r="H6" s="82" t="s">
        <v>194</v>
      </c>
      <c r="I6" s="82" t="str">
        <f aca="false">"전월("&amp;MONTH(EOMONTH(인덱스!$K$1,-1))&amp;"월)"</f>
        <v>전월(5월)</v>
      </c>
      <c r="J6" s="82" t="str">
        <f aca="false">"당월("&amp;MONTH(인덱스!$K$1)&amp;"월)"</f>
        <v>당월(6월)</v>
      </c>
      <c r="K6" s="123" t="s">
        <v>195</v>
      </c>
      <c r="L6" s="123" t="s">
        <v>196</v>
      </c>
      <c r="M6" s="82" t="s">
        <v>49</v>
      </c>
      <c r="P6" s="83" t="s">
        <v>52</v>
      </c>
      <c r="Q6" s="83" t="s">
        <v>19</v>
      </c>
    </row>
    <row r="7" customFormat="false" ht="22.5" hidden="false" customHeight="true" outlineLevel="0" collapsed="false">
      <c r="A7" s="124" t="s">
        <v>134</v>
      </c>
      <c r="B7" s="109" t="n">
        <f aca="false">IFERROR(INDEX(기간별손익계산서!$B:$B,MATCH($O7,기간별손익계산서!$Q:$Q,0)),0)</f>
        <v>16924670011</v>
      </c>
      <c r="C7" s="109" t="n">
        <f aca="false">IFERROR(INDEX(기간별손익계산서!$C:$N,MATCH($O7,기간별손익계산서!$Q:$Q,0),1),0)</f>
        <v>2259822004</v>
      </c>
      <c r="D7" s="109" t="n">
        <f aca="false">IFERROR(INDEX(기간별손익계산서!$C:$N,MATCH($O7,기간별손익계산서!$Q:$Q,0),2),0)</f>
        <v>2611620075</v>
      </c>
      <c r="E7" s="109" t="n">
        <f aca="false">IFERROR(INDEX(기간별손익계산서!$C:$N,MATCH($O7,기간별손익계산서!$Q:$Q,0),3),0)</f>
        <v>3088311293</v>
      </c>
      <c r="F7" s="109" t="n">
        <f aca="false">IFERROR(INDEX(기간별손익계산서!$C:$N,MATCH($O7,기간별손익계산서!$Q:$Q,0),4),0)</f>
        <v>3252016356</v>
      </c>
      <c r="G7" s="109" t="n">
        <f aca="false">IFERROR(INDEX(기간별손익계산서!$C:$N,MATCH($O7,기간별손익계산서!$Q:$Q,0),5),0)</f>
        <v>2900947613</v>
      </c>
      <c r="H7" s="109" t="n">
        <f aca="false">IFERROR(INDEX(기간별손익계산서!$C:$N,MATCH($O7,기간별손익계산서!$Q:$Q,0),6),0)</f>
        <v>2811952670</v>
      </c>
      <c r="I7" s="109" t="n">
        <f aca="false">IFERROR(INDEX(기간별손익계산서!$C:$N,MATCH($O7,기간별손익계산서!$Q:$Q,0),MONTH(EOMONTH(인덱스!$K$1,-1))),0)</f>
        <v>2900947613</v>
      </c>
      <c r="J7" s="109" t="n">
        <f aca="false">IFERROR(INDEX(기간별손익계산서!$C:$N,MATCH($O7,기간별손익계산서!$Q:$Q,0),MONTH(인덱스!$K$1)),0)</f>
        <v>2811952670</v>
      </c>
      <c r="K7" s="109" t="n">
        <f aca="false">J7-I7</f>
        <v>-88994943</v>
      </c>
      <c r="L7" s="125" t="str">
        <f aca="false">IF(J7-I7&gt;0,"증가","감소")</f>
        <v>감소</v>
      </c>
      <c r="M7" s="126"/>
      <c r="N7" s="0" t="str">
        <f aca="false">SUBSTITUTE(A7," ","")</f>
        <v>Ⅰ.매출액</v>
      </c>
      <c r="O7" s="0" t="str">
        <f aca="false">N7&amp;"|"&amp;COUNTIF($N$7:N7,N7)</f>
        <v>Ⅰ.매출액|1</v>
      </c>
      <c r="P7" s="111" t="str">
        <f aca="false">IF($A7="","",IF(ISNUMBER(MATCH($O7,기간별손익계산서!$Q:$Q,0)),"✓ 일치","⚠ 확인필요"))</f>
        <v>✓ 일치</v>
      </c>
      <c r="Q7" s="112" t="n">
        <f aca="false">IFERROR(IF(I7=0,"",(J7-I7)/ABS(I7)),"")</f>
        <v>-0.0306778869777543</v>
      </c>
    </row>
    <row r="8" customFormat="false" ht="22.5" hidden="false" customHeight="true" outlineLevel="0" collapsed="false">
      <c r="A8" s="127" t="s">
        <v>135</v>
      </c>
      <c r="B8" s="113" t="n">
        <f aca="false">IFERROR(INDEX(기간별손익계산서!$B:$B,MATCH($O8,기간별손익계산서!$Q:$Q,0)),0)</f>
        <v>16811107671</v>
      </c>
      <c r="C8" s="113" t="n">
        <f aca="false">IFERROR(INDEX(기간별손익계산서!$C:$N,MATCH($O8,기간별손익계산서!$Q:$Q,0),1),0)</f>
        <v>2249949486</v>
      </c>
      <c r="D8" s="113" t="n">
        <f aca="false">IFERROR(INDEX(기간별손익계산서!$C:$N,MATCH($O8,기간별손익계산서!$Q:$Q,0),2),0)</f>
        <v>2611620075</v>
      </c>
      <c r="E8" s="113" t="n">
        <f aca="false">IFERROR(INDEX(기간별손익계산서!$C:$N,MATCH($O8,기간별손익계산서!$Q:$Q,0),3),0)</f>
        <v>2987460975</v>
      </c>
      <c r="F8" s="113" t="n">
        <f aca="false">IFERROR(INDEX(기간별손익계산서!$C:$N,MATCH($O8,기간별손익계산서!$Q:$Q,0),4),0)</f>
        <v>3252016356</v>
      </c>
      <c r="G8" s="113" t="n">
        <f aca="false">IFERROR(INDEX(기간별손익계산서!$C:$N,MATCH($O8,기간별손익계산서!$Q:$Q,0),5),0)</f>
        <v>2898108109</v>
      </c>
      <c r="H8" s="113" t="n">
        <f aca="false">IFERROR(INDEX(기간별손익계산서!$C:$N,MATCH($O8,기간별손익계산서!$Q:$Q,0),6),0)</f>
        <v>2811952670</v>
      </c>
      <c r="I8" s="113" t="n">
        <f aca="false">IFERROR(INDEX(기간별손익계산서!$C:$N,MATCH($O8,기간별손익계산서!$Q:$Q,0),MONTH(EOMONTH(인덱스!$K$1,-1))),0)</f>
        <v>2898108109</v>
      </c>
      <c r="J8" s="113" t="n">
        <f aca="false">IFERROR(INDEX(기간별손익계산서!$C:$N,MATCH($O8,기간별손익계산서!$Q:$Q,0),MONTH(인덱스!$K$1)),0)</f>
        <v>2811952670</v>
      </c>
      <c r="K8" s="113" t="n">
        <f aca="false">J8-I8</f>
        <v>-86155439</v>
      </c>
      <c r="L8" s="128"/>
      <c r="M8" s="129"/>
      <c r="N8" s="0" t="str">
        <f aca="false">SUBSTITUTE(A8," ","")</f>
        <v>상품매출</v>
      </c>
      <c r="O8" s="0" t="str">
        <f aca="false">N8&amp;"|"&amp;COUNTIF($N$7:N8,N8)</f>
        <v>상품매출|1</v>
      </c>
      <c r="P8" s="111" t="str">
        <f aca="false">IF($A8="","",IF(ISNUMBER(MATCH($O8,기간별손익계산서!$Q:$Q,0)),"✓ 일치","⚠ 확인필요"))</f>
        <v>✓ 일치</v>
      </c>
      <c r="Q8" s="112" t="n">
        <f aca="false">IFERROR(IF(I8=0,"",(J8-I8)/ABS(I8)),"")</f>
        <v>-0.0297281660171498</v>
      </c>
    </row>
    <row r="9" customFormat="false" ht="22.5" hidden="false" customHeight="true" outlineLevel="0" collapsed="false">
      <c r="A9" s="127" t="s">
        <v>136</v>
      </c>
      <c r="B9" s="130" t="n">
        <f aca="false">IFERROR(INDEX(기간별손익계산서!$B:$B,MATCH($O9,기간별손익계산서!$Q:$Q,0)),0)</f>
        <v>113562340</v>
      </c>
      <c r="C9" s="130" t="n">
        <f aca="false">IFERROR(INDEX(기간별손익계산서!$C:$N,MATCH($O9,기간별손익계산서!$Q:$Q,0),1),0)</f>
        <v>9872518</v>
      </c>
      <c r="D9" s="130" t="n">
        <f aca="false">IFERROR(INDEX(기간별손익계산서!$C:$N,MATCH($O9,기간별손익계산서!$Q:$Q,0),2),0)</f>
        <v>0</v>
      </c>
      <c r="E9" s="130" t="n">
        <f aca="false">IFERROR(INDEX(기간별손익계산서!$C:$N,MATCH($O9,기간별손익계산서!$Q:$Q,0),3),0)</f>
        <v>100850318</v>
      </c>
      <c r="F9" s="130" t="n">
        <f aca="false">IFERROR(INDEX(기간별손익계산서!$C:$N,MATCH($O9,기간별손익계산서!$Q:$Q,0),4),0)</f>
        <v>0</v>
      </c>
      <c r="G9" s="130" t="n">
        <f aca="false">IFERROR(INDEX(기간별손익계산서!$C:$N,MATCH($O9,기간별손익계산서!$Q:$Q,0),5),0)</f>
        <v>2839504</v>
      </c>
      <c r="H9" s="130" t="n">
        <f aca="false">IFERROR(INDEX(기간별손익계산서!$C:$N,MATCH($O9,기간별손익계산서!$Q:$Q,0),6),0)</f>
        <v>0</v>
      </c>
      <c r="I9" s="113" t="n">
        <f aca="false">IFERROR(INDEX(기간별손익계산서!$C:$N,MATCH($O9,기간별손익계산서!$Q:$Q,0),MONTH(EOMONTH(인덱스!$K$1,-1))),0)</f>
        <v>2839504</v>
      </c>
      <c r="J9" s="113" t="n">
        <f aca="false">IFERROR(INDEX(기간별손익계산서!$C:$N,MATCH($O9,기간별손익계산서!$Q:$Q,0),MONTH(인덱스!$K$1)),0)</f>
        <v>0</v>
      </c>
      <c r="K9" s="113" t="n">
        <f aca="false">J9-I9</f>
        <v>-2839504</v>
      </c>
      <c r="L9" s="128"/>
      <c r="M9" s="129"/>
      <c r="N9" s="0" t="str">
        <f aca="false">SUBSTITUTE(A9," ","")</f>
        <v>상품수출매출</v>
      </c>
      <c r="O9" s="0" t="str">
        <f aca="false">N9&amp;"|"&amp;COUNTIF($N$7:N9,N9)</f>
        <v>상품수출매출|1</v>
      </c>
      <c r="P9" s="111" t="str">
        <f aca="false">IF($A9="","",IF(ISNUMBER(MATCH($O9,기간별손익계산서!$Q:$Q,0)),"✓ 일치","⚠ 확인필요"))</f>
        <v>✓ 일치</v>
      </c>
      <c r="Q9" s="112" t="n">
        <f aca="false">IFERROR(IF(I9=0,"",(J9-I9)/ABS(I9)),"")</f>
        <v>-1</v>
      </c>
    </row>
    <row r="10" customFormat="false" ht="22.5" hidden="false" customHeight="true" outlineLevel="0" collapsed="false">
      <c r="A10" s="124" t="s">
        <v>137</v>
      </c>
      <c r="B10" s="131" t="n">
        <f aca="false">IFERROR(INDEX(기간별손익계산서!$B:$B,MATCH($O10,기간별손익계산서!$Q:$Q,0)),0)</f>
        <v>14142558811</v>
      </c>
      <c r="C10" s="131" t="n">
        <f aca="false">IFERROR(INDEX(기간별손익계산서!$C:$N,MATCH($O10,기간별손익계산서!$Q:$Q,0),1),0)</f>
        <v>1932310934</v>
      </c>
      <c r="D10" s="131" t="n">
        <f aca="false">IFERROR(INDEX(기간별손익계산서!$C:$N,MATCH($O10,기간별손익계산서!$Q:$Q,0),2),0)</f>
        <v>2202706401</v>
      </c>
      <c r="E10" s="131" t="n">
        <f aca="false">IFERROR(INDEX(기간별손익계산서!$C:$N,MATCH($O10,기간별손익계산서!$Q:$Q,0),3),0)</f>
        <v>2584452050</v>
      </c>
      <c r="F10" s="131" t="n">
        <f aca="false">IFERROR(INDEX(기간별손익계산서!$C:$N,MATCH($O10,기간별손익계산서!$Q:$Q,0),4),0)</f>
        <v>2720044477</v>
      </c>
      <c r="G10" s="131" t="n">
        <f aca="false">IFERROR(INDEX(기간별손익계산서!$C:$N,MATCH($O10,기간별손익계산서!$Q:$Q,0),5),0)</f>
        <v>2408362753</v>
      </c>
      <c r="H10" s="131" t="n">
        <f aca="false">IFERROR(INDEX(기간별손익계산서!$C:$N,MATCH($O10,기간별손익계산서!$Q:$Q,0),6),0)</f>
        <v>2294682196</v>
      </c>
      <c r="I10" s="109" t="n">
        <f aca="false">IFERROR(INDEX(기간별손익계산서!$C:$N,MATCH($O10,기간별손익계산서!$Q:$Q,0),MONTH(EOMONTH(인덱스!$K$1,-1))),0)</f>
        <v>2408362753</v>
      </c>
      <c r="J10" s="109" t="n">
        <f aca="false">IFERROR(INDEX(기간별손익계산서!$C:$N,MATCH($O10,기간별손익계산서!$Q:$Q,0),MONTH(인덱스!$K$1)),0)</f>
        <v>2294682196</v>
      </c>
      <c r="K10" s="109" t="n">
        <f aca="false">J10-I10</f>
        <v>-113680557</v>
      </c>
      <c r="L10" s="125" t="str">
        <f aca="false">IF(J10-I10&gt;0,"증가","감소")</f>
        <v>감소</v>
      </c>
      <c r="M10" s="126"/>
      <c r="N10" s="0" t="str">
        <f aca="false">SUBSTITUTE(A10," ","")</f>
        <v>Ⅱ.매출원가</v>
      </c>
      <c r="O10" s="0" t="str">
        <f aca="false">N10&amp;"|"&amp;COUNTIF($N$7:N10,N10)</f>
        <v>Ⅱ.매출원가|1</v>
      </c>
      <c r="P10" s="111" t="str">
        <f aca="false">IF($A10="","",IF(ISNUMBER(MATCH($O10,기간별손익계산서!$Q:$Q,0)),"✓ 일치","⚠ 확인필요"))</f>
        <v>✓ 일치</v>
      </c>
      <c r="Q10" s="112" t="n">
        <f aca="false">IFERROR(IF(I10=0,"",(J10-I10)/ABS(I10)),"")</f>
        <v>-0.0472024228320226</v>
      </c>
    </row>
    <row r="11" customFormat="false" ht="22.5" hidden="false" customHeight="true" outlineLevel="0" collapsed="false">
      <c r="A11" s="127" t="s">
        <v>138</v>
      </c>
      <c r="B11" s="130" t="n">
        <f aca="false">IFERROR(INDEX(기간별손익계산서!$B:$B,MATCH($O11,기간별손익계산서!$Q:$Q,0)),0)</f>
        <v>14142558811</v>
      </c>
      <c r="C11" s="130" t="n">
        <f aca="false">IFERROR(INDEX(기간별손익계산서!$C:$N,MATCH($O11,기간별손익계산서!$Q:$Q,0),1),0)</f>
        <v>1932310934</v>
      </c>
      <c r="D11" s="130" t="n">
        <f aca="false">IFERROR(INDEX(기간별손익계산서!$C:$N,MATCH($O11,기간별손익계산서!$Q:$Q,0),2),0)</f>
        <v>2202706401</v>
      </c>
      <c r="E11" s="130" t="n">
        <f aca="false">IFERROR(INDEX(기간별손익계산서!$C:$N,MATCH($O11,기간별손익계산서!$Q:$Q,0),3),0)</f>
        <v>2584452050</v>
      </c>
      <c r="F11" s="130" t="n">
        <f aca="false">IFERROR(INDEX(기간별손익계산서!$C:$N,MATCH($O11,기간별손익계산서!$Q:$Q,0),4),0)</f>
        <v>2720044477</v>
      </c>
      <c r="G11" s="130" t="n">
        <f aca="false">IFERROR(INDEX(기간별손익계산서!$C:$N,MATCH($O11,기간별손익계산서!$Q:$Q,0),5),0)</f>
        <v>2408362753</v>
      </c>
      <c r="H11" s="130" t="n">
        <f aca="false">IFERROR(INDEX(기간별손익계산서!$C:$N,MATCH($O11,기간별손익계산서!$Q:$Q,0),6),0)</f>
        <v>2294682196</v>
      </c>
      <c r="I11" s="113" t="n">
        <f aca="false">IFERROR(INDEX(기간별손익계산서!$C:$N,MATCH($O11,기간별손익계산서!$Q:$Q,0),MONTH(EOMONTH(인덱스!$K$1,-1))),0)</f>
        <v>2408362753</v>
      </c>
      <c r="J11" s="113" t="n">
        <f aca="false">IFERROR(INDEX(기간별손익계산서!$C:$N,MATCH($O11,기간별손익계산서!$Q:$Q,0),MONTH(인덱스!$K$1)),0)</f>
        <v>2294682196</v>
      </c>
      <c r="K11" s="113" t="n">
        <f aca="false">J11-I11</f>
        <v>-113680557</v>
      </c>
      <c r="L11" s="128"/>
      <c r="M11" s="129"/>
      <c r="N11" s="0" t="str">
        <f aca="false">SUBSTITUTE(A11," ","")</f>
        <v>상품매출원가</v>
      </c>
      <c r="O11" s="0" t="str">
        <f aca="false">N11&amp;"|"&amp;COUNTIF($N$7:N11,N11)</f>
        <v>상품매출원가|1</v>
      </c>
      <c r="P11" s="111" t="str">
        <f aca="false">IF($A11="","",IF(ISNUMBER(MATCH($O11,기간별손익계산서!$Q:$Q,0)),"✓ 일치","⚠ 확인필요"))</f>
        <v>✓ 일치</v>
      </c>
      <c r="Q11" s="112" t="n">
        <f aca="false">IFERROR(IF(I11=0,"",(J11-I11)/ABS(I11)),"")</f>
        <v>-0.0472024228320226</v>
      </c>
    </row>
    <row r="12" customFormat="false" ht="22.5" hidden="false" customHeight="true" outlineLevel="0" collapsed="false">
      <c r="A12" s="127" t="s">
        <v>139</v>
      </c>
      <c r="B12" s="130" t="n">
        <f aca="false">IFERROR(INDEX(기간별손익계산서!$B:$B,MATCH($O12,기간별손익계산서!$Q:$Q,0)),0)</f>
        <v>2098835763</v>
      </c>
      <c r="C12" s="130" t="n">
        <f aca="false">IFERROR(INDEX(기간별손익계산서!$C:$N,MATCH($O12,기간별손익계산서!$Q:$Q,0),1),0)</f>
        <v>2098835763</v>
      </c>
      <c r="D12" s="130" t="n">
        <f aca="false">IFERROR(INDEX(기간별손익계산서!$C:$N,MATCH($O12,기간별손익계산서!$Q:$Q,0),2),0)</f>
        <v>2202511203</v>
      </c>
      <c r="E12" s="130" t="n">
        <f aca="false">IFERROR(INDEX(기간별손익계산서!$C:$N,MATCH($O12,기간별손익계산서!$Q:$Q,0),3),0)</f>
        <v>2199480449</v>
      </c>
      <c r="F12" s="130" t="n">
        <f aca="false">IFERROR(INDEX(기간별손익계산서!$C:$N,MATCH($O12,기간별손익계산서!$Q:$Q,0),4),0)</f>
        <v>2215051462</v>
      </c>
      <c r="G12" s="130" t="n">
        <f aca="false">IFERROR(INDEX(기간별손익계산서!$C:$N,MATCH($O12,기간별손익계산서!$Q:$Q,0),5),0)</f>
        <v>2183380286</v>
      </c>
      <c r="H12" s="130" t="n">
        <f aca="false">IFERROR(INDEX(기간별손익계산서!$C:$N,MATCH($O12,기간별손익계산서!$Q:$Q,0),6),0)</f>
        <v>2098118507</v>
      </c>
      <c r="I12" s="113" t="n">
        <f aca="false">IFERROR(INDEX(기간별손익계산서!$C:$N,MATCH($O12,기간별손익계산서!$Q:$Q,0),MONTH(EOMONTH(인덱스!$K$1,-1))),0)</f>
        <v>2183380286</v>
      </c>
      <c r="J12" s="113" t="n">
        <f aca="false">IFERROR(INDEX(기간별손익계산서!$C:$N,MATCH($O12,기간별손익계산서!$Q:$Q,0),MONTH(인덱스!$K$1)),0)</f>
        <v>2098118507</v>
      </c>
      <c r="K12" s="113" t="n">
        <f aca="false">J12-I12</f>
        <v>-85261779</v>
      </c>
      <c r="L12" s="128"/>
      <c r="M12" s="129"/>
      <c r="N12" s="0" t="str">
        <f aca="false">SUBSTITUTE(A12," ","")</f>
        <v>기초상품재고액</v>
      </c>
      <c r="O12" s="0" t="str">
        <f aca="false">N12&amp;"|"&amp;COUNTIF($N$7:N12,N12)</f>
        <v>기초상품재고액|1</v>
      </c>
      <c r="P12" s="111" t="str">
        <f aca="false">IF($A12="","",IF(ISNUMBER(MATCH($O12,기간별손익계산서!$Q:$Q,0)),"✓ 일치","⚠ 확인필요"))</f>
        <v>✓ 일치</v>
      </c>
      <c r="Q12" s="112" t="n">
        <f aca="false">IFERROR(IF(I12=0,"",(J12-I12)/ABS(I12)),"")</f>
        <v>-0.0390503567091381</v>
      </c>
    </row>
    <row r="13" customFormat="false" ht="22.5" hidden="false" customHeight="true" outlineLevel="0" collapsed="false">
      <c r="A13" s="127" t="s">
        <v>140</v>
      </c>
      <c r="B13" s="130" t="n">
        <f aca="false">IFERROR(INDEX(기간별손익계산서!$B:$B,MATCH($O13,기간별손익계산서!$Q:$Q,0)),0)</f>
        <v>14262980978</v>
      </c>
      <c r="C13" s="130" t="n">
        <f aca="false">IFERROR(INDEX(기간별손익계산서!$C:$N,MATCH($O13,기간별손익계산서!$Q:$Q,0),1),0)</f>
        <v>2046901901</v>
      </c>
      <c r="D13" s="130" t="n">
        <f aca="false">IFERROR(INDEX(기간별손익계산서!$C:$N,MATCH($O13,기간별손익계산서!$Q:$Q,0),2),0)</f>
        <v>2207681760</v>
      </c>
      <c r="E13" s="130" t="n">
        <f aca="false">IFERROR(INDEX(기간별손익계산서!$C:$N,MATCH($O13,기간별손익계산서!$Q:$Q,0),3),0)</f>
        <v>2607090450</v>
      </c>
      <c r="F13" s="130" t="n">
        <f aca="false">IFERROR(INDEX(기간별손익계산서!$C:$N,MATCH($O13,기간별손익계산서!$Q:$Q,0),4),0)</f>
        <v>2698904276</v>
      </c>
      <c r="G13" s="130" t="n">
        <f aca="false">IFERROR(INDEX(기간별손익계산서!$C:$N,MATCH($O13,기간별손익계산서!$Q:$Q,0),5),0)</f>
        <v>2335105851</v>
      </c>
      <c r="H13" s="130" t="n">
        <f aca="false">IFERROR(INDEX(기간별손익계산서!$C:$N,MATCH($O13,기간별손익계산서!$Q:$Q,0),6),0)</f>
        <v>2367296740</v>
      </c>
      <c r="I13" s="113" t="n">
        <f aca="false">IFERROR(INDEX(기간별손익계산서!$C:$N,MATCH($O13,기간별손익계산서!$Q:$Q,0),MONTH(EOMONTH(인덱스!$K$1,-1))),0)</f>
        <v>2335105851</v>
      </c>
      <c r="J13" s="113" t="n">
        <f aca="false">IFERROR(INDEX(기간별손익계산서!$C:$N,MATCH($O13,기간별손익계산서!$Q:$Q,0),MONTH(인덱스!$K$1)),0)</f>
        <v>2367296740</v>
      </c>
      <c r="K13" s="113" t="n">
        <f aca="false">J13-I13</f>
        <v>32190889</v>
      </c>
      <c r="L13" s="128"/>
      <c r="M13" s="129"/>
      <c r="N13" s="0" t="str">
        <f aca="false">SUBSTITUTE(A13," ","")</f>
        <v>당기상품매입액</v>
      </c>
      <c r="O13" s="0" t="str">
        <f aca="false">N13&amp;"|"&amp;COUNTIF($N$7:N13,N13)</f>
        <v>당기상품매입액|1</v>
      </c>
      <c r="P13" s="111" t="str">
        <f aca="false">IF($A13="","",IF(ISNUMBER(MATCH($O13,기간별손익계산서!$Q:$Q,0)),"✓ 일치","⚠ 확인필요"))</f>
        <v>✓ 일치</v>
      </c>
      <c r="Q13" s="112" t="n">
        <f aca="false">IFERROR(IF(I13=0,"",(J13-I13)/ABS(I13)),"")</f>
        <v>0.0137856230312705</v>
      </c>
    </row>
    <row r="14" customFormat="false" ht="22.5" hidden="false" customHeight="true" outlineLevel="0" collapsed="false">
      <c r="A14" s="127" t="s">
        <v>141</v>
      </c>
      <c r="B14" s="130" t="n">
        <f aca="false">IFERROR(INDEX(기간별손익계산서!$B:$B,MATCH($O14,기간별손익계산서!$Q:$Q,0)),0)</f>
        <v>55192063</v>
      </c>
      <c r="C14" s="130" t="n">
        <f aca="false">IFERROR(INDEX(기간별손익계산서!$C:$N,MATCH($O14,기간별손익계산서!$Q:$Q,0),1),0)</f>
        <v>10915527</v>
      </c>
      <c r="D14" s="130" t="n">
        <f aca="false">IFERROR(INDEX(기간별손익계산서!$C:$N,MATCH($O14,기간별손익계산서!$Q:$Q,0),2),0)</f>
        <v>8006113</v>
      </c>
      <c r="E14" s="130" t="n">
        <f aca="false">IFERROR(INDEX(기간별손익계산서!$C:$N,MATCH($O14,기간별손익계산서!$Q:$Q,0),3),0)</f>
        <v>7067387</v>
      </c>
      <c r="F14" s="130" t="n">
        <f aca="false">IFERROR(INDEX(기간별손익계산서!$C:$N,MATCH($O14,기간별손익계산서!$Q:$Q,0),4),0)</f>
        <v>10530975</v>
      </c>
      <c r="G14" s="130" t="n">
        <f aca="false">IFERROR(INDEX(기간별손익계산서!$C:$N,MATCH($O14,기간별손익계산서!$Q:$Q,0),5),0)</f>
        <v>12004877</v>
      </c>
      <c r="H14" s="130" t="n">
        <f aca="false">IFERROR(INDEX(기간별손익계산서!$C:$N,MATCH($O14,기간별손익계산서!$Q:$Q,0),6),0)</f>
        <v>6667184</v>
      </c>
      <c r="I14" s="113" t="n">
        <f aca="false">IFERROR(INDEX(기간별손익계산서!$C:$N,MATCH($O14,기간별손익계산서!$Q:$Q,0),MONTH(EOMONTH(인덱스!$K$1,-1))),0)</f>
        <v>12004877</v>
      </c>
      <c r="J14" s="113" t="n">
        <f aca="false">IFERROR(INDEX(기간별손익계산서!$C:$N,MATCH($O14,기간별손익계산서!$Q:$Q,0),MONTH(인덱스!$K$1)),0)</f>
        <v>6667184</v>
      </c>
      <c r="K14" s="113" t="n">
        <f aca="false">J14-I14</f>
        <v>-5337693</v>
      </c>
      <c r="L14" s="128"/>
      <c r="M14" s="129"/>
      <c r="N14" s="0" t="str">
        <f aca="false">SUBSTITUTE(A14," ","")</f>
        <v>매입할인</v>
      </c>
      <c r="O14" s="0" t="str">
        <f aca="false">N14&amp;"|"&amp;COUNTIF($N$7:N14,N14)</f>
        <v>매입할인|1</v>
      </c>
      <c r="P14" s="111" t="str">
        <f aca="false">IF($A14="","",IF(ISNUMBER(MATCH($O14,기간별손익계산서!$Q:$Q,0)),"✓ 일치","⚠ 확인필요"))</f>
        <v>✓ 일치</v>
      </c>
      <c r="Q14" s="112" t="n">
        <f aca="false">IFERROR(IF(I14=0,"",(J14-I14)/ABS(I14)),"")</f>
        <v>-0.444627046157991</v>
      </c>
    </row>
    <row r="15" customFormat="false" ht="22.5" hidden="false" customHeight="true" outlineLevel="0" collapsed="false">
      <c r="A15" s="127" t="s">
        <v>142</v>
      </c>
      <c r="B15" s="130" t="n">
        <f aca="false">IFERROR(INDEX(기간별손익계산서!$B:$B,MATCH($O15,기간별손익계산서!$Q:$Q,0)),0)</f>
        <v>2164065867</v>
      </c>
      <c r="C15" s="130" t="n">
        <f aca="false">IFERROR(INDEX(기간별손익계산서!$C:$N,MATCH($O15,기간별손익계산서!$Q:$Q,0),1),0)</f>
        <v>2202511203</v>
      </c>
      <c r="D15" s="130" t="n">
        <f aca="false">IFERROR(INDEX(기간별손익계산서!$C:$N,MATCH($O15,기간별손익계산서!$Q:$Q,0),2),0)</f>
        <v>2199480449</v>
      </c>
      <c r="E15" s="130" t="n">
        <f aca="false">IFERROR(INDEX(기간별손익계산서!$C:$N,MATCH($O15,기간별손익계산서!$Q:$Q,0),3),0)</f>
        <v>2215051462</v>
      </c>
      <c r="F15" s="130" t="n">
        <f aca="false">IFERROR(INDEX(기간별손익계산서!$C:$N,MATCH($O15,기간별손익계산서!$Q:$Q,0),4),0)</f>
        <v>2183380286</v>
      </c>
      <c r="G15" s="130" t="n">
        <f aca="false">IFERROR(INDEX(기간별손익계산서!$C:$N,MATCH($O15,기간별손익계산서!$Q:$Q,0),5),0)</f>
        <v>2098118507</v>
      </c>
      <c r="H15" s="130" t="n">
        <f aca="false">IFERROR(INDEX(기간별손익계산서!$C:$N,MATCH($O15,기간별손익계산서!$Q:$Q,0),6),0)</f>
        <v>2164065867</v>
      </c>
      <c r="I15" s="113" t="n">
        <f aca="false">IFERROR(INDEX(기간별손익계산서!$C:$N,MATCH($O15,기간별손익계산서!$Q:$Q,0),MONTH(EOMONTH(인덱스!$K$1,-1))),0)</f>
        <v>2098118507</v>
      </c>
      <c r="J15" s="113" t="n">
        <f aca="false">IFERROR(INDEX(기간별손익계산서!$C:$N,MATCH($O15,기간별손익계산서!$Q:$Q,0),MONTH(인덱스!$K$1)),0)</f>
        <v>2164065867</v>
      </c>
      <c r="K15" s="113" t="n">
        <f aca="false">J15-I15</f>
        <v>65947360</v>
      </c>
      <c r="L15" s="128"/>
      <c r="M15" s="129"/>
      <c r="N15" s="0" t="str">
        <f aca="false">SUBSTITUTE(A15," ","")</f>
        <v>기말상품재고액</v>
      </c>
      <c r="O15" s="0" t="str">
        <f aca="false">N15&amp;"|"&amp;COUNTIF($N$7:N15,N15)</f>
        <v>기말상품재고액|1</v>
      </c>
      <c r="P15" s="111" t="str">
        <f aca="false">IF($A15="","",IF(ISNUMBER(MATCH($O15,기간별손익계산서!$Q:$Q,0)),"✓ 일치","⚠ 확인필요"))</f>
        <v>✓ 일치</v>
      </c>
      <c r="Q15" s="112" t="n">
        <f aca="false">IFERROR(IF(I15=0,"",(J15-I15)/ABS(I15)),"")</f>
        <v>0.0314316659330626</v>
      </c>
    </row>
    <row r="16" customFormat="false" ht="24" hidden="false" customHeight="true" outlineLevel="0" collapsed="false">
      <c r="A16" s="91" t="s">
        <v>143</v>
      </c>
      <c r="B16" s="109" t="n">
        <f aca="false">IFERROR(INDEX(기간별손익계산서!$B:$B,MATCH($O16,기간별손익계산서!$Q:$Q,0)),0)</f>
        <v>2782111200</v>
      </c>
      <c r="C16" s="109" t="n">
        <f aca="false">IFERROR(INDEX(기간별손익계산서!$C:$N,MATCH($O16,기간별손익계산서!$Q:$Q,0),1),0)</f>
        <v>327511070</v>
      </c>
      <c r="D16" s="109" t="n">
        <f aca="false">IFERROR(INDEX(기간별손익계산서!$C:$N,MATCH($O16,기간별손익계산서!$Q:$Q,0),2),0)</f>
        <v>408913674</v>
      </c>
      <c r="E16" s="109" t="n">
        <f aca="false">IFERROR(INDEX(기간별손익계산서!$C:$N,MATCH($O16,기간별손익계산서!$Q:$Q,0),3),0)</f>
        <v>503859243</v>
      </c>
      <c r="F16" s="109" t="n">
        <f aca="false">IFERROR(INDEX(기간별손익계산서!$C:$N,MATCH($O16,기간별손익계산서!$Q:$Q,0),4),0)</f>
        <v>531971879</v>
      </c>
      <c r="G16" s="109" t="n">
        <f aca="false">IFERROR(INDEX(기간별손익계산서!$C:$N,MATCH($O16,기간별손익계산서!$Q:$Q,0),5),0)</f>
        <v>492584860</v>
      </c>
      <c r="H16" s="109" t="n">
        <f aca="false">IFERROR(INDEX(기간별손익계산서!$C:$N,MATCH($O16,기간별손익계산서!$Q:$Q,0),6),0)</f>
        <v>517270474</v>
      </c>
      <c r="I16" s="109" t="n">
        <f aca="false">IFERROR(INDEX(기간별손익계산서!$C:$N,MATCH($O16,기간별손익계산서!$Q:$Q,0),MONTH(EOMONTH(인덱스!$K$1,-1))),0)</f>
        <v>492584860</v>
      </c>
      <c r="J16" s="109" t="n">
        <f aca="false">IFERROR(INDEX(기간별손익계산서!$C:$N,MATCH($O16,기간별손익계산서!$Q:$Q,0),MONTH(인덱스!$K$1)),0)</f>
        <v>517270474</v>
      </c>
      <c r="K16" s="109" t="n">
        <f aca="false">J16-I16</f>
        <v>24685614</v>
      </c>
      <c r="L16" s="125" t="str">
        <f aca="false">IF(J16-I16&gt;0,"증가","감소")</f>
        <v>증가</v>
      </c>
      <c r="M16" s="126"/>
      <c r="N16" s="0" t="str">
        <f aca="false">SUBSTITUTE(A16," ","")</f>
        <v>Ⅲ.매출총이익</v>
      </c>
      <c r="O16" s="0" t="str">
        <f aca="false">N16&amp;"|"&amp;COUNTIF($N$7:N16,N16)</f>
        <v>Ⅲ.매출총이익|1</v>
      </c>
      <c r="P16" s="111" t="str">
        <f aca="false">IF($A16="","",IF(ISNUMBER(MATCH($O16,기간별손익계산서!$Q:$Q,0)),"✓ 일치","⚠ 확인필요"))</f>
        <v>✓ 일치</v>
      </c>
      <c r="Q16" s="112" t="n">
        <f aca="false">IFERROR(IF(I16=0,"",(J16-I16)/ABS(I16)),"")</f>
        <v>0.0501144391648578</v>
      </c>
    </row>
    <row r="17" customFormat="false" ht="22.5" hidden="false" customHeight="true" outlineLevel="0" collapsed="false">
      <c r="A17" s="124" t="s">
        <v>144</v>
      </c>
      <c r="B17" s="131" t="n">
        <f aca="false">IFERROR(INDEX(기간별손익계산서!$B:$B,MATCH($O17,기간별손익계산서!$Q:$Q,0)),0)</f>
        <v>1674889822</v>
      </c>
      <c r="C17" s="131" t="n">
        <f aca="false">IFERROR(INDEX(기간별손익계산서!$C:$N,MATCH($O17,기간별손익계산서!$Q:$Q,0),1),0)</f>
        <v>286769154</v>
      </c>
      <c r="D17" s="131" t="n">
        <f aca="false">IFERROR(INDEX(기간별손익계산서!$C:$N,MATCH($O17,기간별손익계산서!$Q:$Q,0),2),0)</f>
        <v>260263942</v>
      </c>
      <c r="E17" s="131" t="n">
        <f aca="false">IFERROR(INDEX(기간별손익계산서!$C:$N,MATCH($O17,기간별손익계산서!$Q:$Q,0),3),0)</f>
        <v>281123798</v>
      </c>
      <c r="F17" s="131" t="n">
        <f aca="false">IFERROR(INDEX(기간별손익계산서!$C:$N,MATCH($O17,기간별손익계산서!$Q:$Q,0),4),0)</f>
        <v>266372656</v>
      </c>
      <c r="G17" s="131" t="n">
        <f aca="false">IFERROR(INDEX(기간별손익계산서!$C:$N,MATCH($O17,기간별손익계산서!$Q:$Q,0),5),0)</f>
        <v>268138369</v>
      </c>
      <c r="H17" s="131" t="n">
        <f aca="false">IFERROR(INDEX(기간별손익계산서!$C:$N,MATCH($O17,기간별손익계산서!$Q:$Q,0),6),0)</f>
        <v>312221903</v>
      </c>
      <c r="I17" s="109" t="n">
        <f aca="false">IFERROR(INDEX(기간별손익계산서!$C:$N,MATCH($O17,기간별손익계산서!$Q:$Q,0),MONTH(EOMONTH(인덱스!$K$1,-1))),0)</f>
        <v>268138369</v>
      </c>
      <c r="J17" s="109" t="n">
        <f aca="false">IFERROR(INDEX(기간별손익계산서!$C:$N,MATCH($O17,기간별손익계산서!$Q:$Q,0),MONTH(인덱스!$K$1)),0)</f>
        <v>312221903</v>
      </c>
      <c r="K17" s="109" t="n">
        <f aca="false">J17-I17</f>
        <v>44083534</v>
      </c>
      <c r="L17" s="125" t="str">
        <f aca="false">IF(J17-I17&gt;0,"증가","감소")</f>
        <v>증가</v>
      </c>
      <c r="M17" s="126"/>
      <c r="N17" s="0" t="str">
        <f aca="false">SUBSTITUTE(A17," ","")</f>
        <v>Ⅳ.판매관리비</v>
      </c>
      <c r="O17" s="0" t="str">
        <f aca="false">N17&amp;"|"&amp;COUNTIF($N$7:N17,N17)</f>
        <v>Ⅳ.판매관리비|1</v>
      </c>
      <c r="P17" s="111" t="str">
        <f aca="false">IF($A17="","",IF(ISNUMBER(MATCH($O17,기간별손익계산서!$Q:$Q,0)),"✓ 일치","⚠ 확인필요"))</f>
        <v>✓ 일치</v>
      </c>
      <c r="Q17" s="112" t="n">
        <f aca="false">IFERROR(IF(I17=0,"",(J17-I17)/ABS(I17)),"")</f>
        <v>0.164405915365287</v>
      </c>
    </row>
    <row r="18" customFormat="false" ht="22.5" hidden="false" customHeight="true" outlineLevel="0" collapsed="false">
      <c r="A18" s="127" t="s">
        <v>146</v>
      </c>
      <c r="B18" s="130" t="n">
        <f aca="false">IFERROR(INDEX(기간별손익계산서!$B:$B,MATCH($O18,기간별손익계산서!$Q:$Q,0)),0)</f>
        <v>1005640511</v>
      </c>
      <c r="C18" s="130" t="n">
        <f aca="false">IFERROR(INDEX(기간별손익계산서!$C:$N,MATCH($O18,기간별손익계산서!$Q:$Q,0),1),0)</f>
        <v>159934683</v>
      </c>
      <c r="D18" s="130" t="n">
        <f aca="false">IFERROR(INDEX(기간별손익계산서!$C:$N,MATCH($O18,기간별손익계산서!$Q:$Q,0),2),0)</f>
        <v>160558333</v>
      </c>
      <c r="E18" s="130" t="n">
        <f aca="false">IFERROR(INDEX(기간별손익계산서!$C:$N,MATCH($O18,기간별손익계산서!$Q:$Q,0),3),0)</f>
        <v>162139803</v>
      </c>
      <c r="F18" s="130" t="n">
        <f aca="false">IFERROR(INDEX(기간별손익계산서!$C:$N,MATCH($O18,기간별손익계산서!$Q:$Q,0),4),0)</f>
        <v>159965336</v>
      </c>
      <c r="G18" s="130" t="n">
        <f aca="false">IFERROR(INDEX(기간별손익계산서!$C:$N,MATCH($O18,기간별손익계산서!$Q:$Q,0),5),0)</f>
        <v>156225003</v>
      </c>
      <c r="H18" s="130" t="n">
        <f aca="false">IFERROR(INDEX(기간별손익계산서!$C:$N,MATCH($O18,기간별손익계산서!$Q:$Q,0),6),0)</f>
        <v>206817353</v>
      </c>
      <c r="I18" s="113" t="n">
        <f aca="false">IFERROR(INDEX(기간별손익계산서!$C:$N,MATCH($O18,기간별손익계산서!$Q:$Q,0),MONTH(EOMONTH(인덱스!$K$1,-1))),0)</f>
        <v>156225003</v>
      </c>
      <c r="J18" s="113" t="n">
        <f aca="false">IFERROR(INDEX(기간별손익계산서!$C:$N,MATCH($O18,기간별손익계산서!$Q:$Q,0),MONTH(인덱스!$K$1)),0)</f>
        <v>206817353</v>
      </c>
      <c r="K18" s="113" t="n">
        <f aca="false">J18-I18</f>
        <v>50592350</v>
      </c>
      <c r="L18" s="132" t="str">
        <f aca="false">IF(J18-I18&gt;0,"증가","감소")</f>
        <v>증가</v>
      </c>
      <c r="M18" s="133" t="s">
        <v>197</v>
      </c>
      <c r="N18" s="0" t="str">
        <f aca="false">SUBSTITUTE(A18," ","")</f>
        <v>직원급여</v>
      </c>
      <c r="O18" s="0" t="str">
        <f aca="false">N18&amp;"|"&amp;COUNTIF($N$7:N18,N18)</f>
        <v>직원급여|1</v>
      </c>
      <c r="P18" s="111" t="str">
        <f aca="false">IF($A18="","",IF(ISNUMBER(MATCH($O18,기간별손익계산서!$Q:$Q,0)),"✓ 일치","⚠ 확인필요"))</f>
        <v>✓ 일치</v>
      </c>
      <c r="Q18" s="112" t="n">
        <f aca="false">IFERROR(IF(I18=0,"",(J18-I18)/ABS(I18)),"")</f>
        <v>0.323842848637999</v>
      </c>
    </row>
    <row r="19" customFormat="false" ht="22.5" hidden="false" customHeight="true" outlineLevel="0" collapsed="false">
      <c r="A19" s="127" t="s">
        <v>147</v>
      </c>
      <c r="B19" s="130" t="n">
        <f aca="false">IFERROR(INDEX(기간별손익계산서!$B:$B,MATCH($O19,기간별손익계산서!$Q:$Q,0)),0)</f>
        <v>0</v>
      </c>
      <c r="C19" s="130" t="n">
        <f aca="false">IFERROR(INDEX(기간별손익계산서!$C:$N,MATCH($O19,기간별손익계산서!$Q:$Q,0),1),0)</f>
        <v>0</v>
      </c>
      <c r="D19" s="130" t="n">
        <f aca="false">IFERROR(INDEX(기간별손익계산서!$C:$N,MATCH($O19,기간별손익계산서!$Q:$Q,0),2),0)</f>
        <v>0</v>
      </c>
      <c r="E19" s="130" t="n">
        <f aca="false">IFERROR(INDEX(기간별손익계산서!$C:$N,MATCH($O19,기간별손익계산서!$Q:$Q,0),3),0)</f>
        <v>0</v>
      </c>
      <c r="F19" s="130" t="n">
        <f aca="false">IFERROR(INDEX(기간별손익계산서!$C:$N,MATCH($O19,기간별손익계산서!$Q:$Q,0),4),0)</f>
        <v>0</v>
      </c>
      <c r="G19" s="130" t="n">
        <f aca="false">IFERROR(INDEX(기간별손익계산서!$C:$N,MATCH($O19,기간별손익계산서!$Q:$Q,0),5),0)</f>
        <v>0</v>
      </c>
      <c r="H19" s="130" t="n">
        <f aca="false">IFERROR(INDEX(기간별손익계산서!$C:$N,MATCH($O19,기간별손익계산서!$Q:$Q,0),6),0)</f>
        <v>0</v>
      </c>
      <c r="I19" s="113" t="n">
        <f aca="false">IFERROR(INDEX(기간별손익계산서!$C:$N,MATCH($O19,기간별손익계산서!$Q:$Q,0),MONTH(EOMONTH(인덱스!$K$1,-1))),0)</f>
        <v>0</v>
      </c>
      <c r="J19" s="113" t="n">
        <f aca="false">IFERROR(INDEX(기간별손익계산서!$C:$N,MATCH($O19,기간별손익계산서!$Q:$Q,0),MONTH(인덱스!$K$1)),0)</f>
        <v>0</v>
      </c>
      <c r="K19" s="113" t="n">
        <f aca="false">J19-I19</f>
        <v>0</v>
      </c>
      <c r="L19" s="132" t="s">
        <v>198</v>
      </c>
      <c r="M19" s="134"/>
      <c r="N19" s="0" t="str">
        <f aca="false">SUBSTITUTE(A19," ","")</f>
        <v>상여금</v>
      </c>
      <c r="O19" s="0" t="str">
        <f aca="false">N19&amp;"|"&amp;COUNTIF($N$7:N19,N19)</f>
        <v>상여금|1</v>
      </c>
      <c r="P19" s="111" t="str">
        <f aca="false">IF($A19="","",IF(ISNUMBER(MATCH($O19,기간별손익계산서!$Q:$Q,0)),"✓ 일치","⚠ 확인필요"))</f>
        <v>⚠ 확인필요</v>
      </c>
      <c r="Q19" s="112" t="str">
        <f aca="false">IFERROR(IF(I19=0,"",(J19-I19)/ABS(I19)),"")</f>
        <v/>
      </c>
    </row>
    <row r="20" customFormat="false" ht="22.5" hidden="false" customHeight="true" outlineLevel="0" collapsed="false">
      <c r="A20" s="127" t="s">
        <v>149</v>
      </c>
      <c r="B20" s="130" t="n">
        <f aca="false">IFERROR(INDEX(기간별손익계산서!$B:$B,MATCH($O20,기간별손익계산서!$Q:$Q,0)),0)</f>
        <v>3419250</v>
      </c>
      <c r="C20" s="130" t="n">
        <f aca="false">IFERROR(INDEX(기간별손익계산서!$C:$N,MATCH($O20,기간별손익계산서!$Q:$Q,0),1),0)</f>
        <v>0</v>
      </c>
      <c r="D20" s="130" t="n">
        <f aca="false">IFERROR(INDEX(기간별손익계산서!$C:$N,MATCH($O20,기간별손익계산서!$Q:$Q,0),2),0)</f>
        <v>0</v>
      </c>
      <c r="E20" s="130" t="n">
        <f aca="false">IFERROR(INDEX(기간별손익계산서!$C:$N,MATCH($O20,기간별손익계산서!$Q:$Q,0),3),0)</f>
        <v>0</v>
      </c>
      <c r="F20" s="130" t="n">
        <f aca="false">IFERROR(INDEX(기간별손익계산서!$C:$N,MATCH($O20,기간별손익계산서!$Q:$Q,0),4),0)</f>
        <v>2391780</v>
      </c>
      <c r="G20" s="130" t="n">
        <f aca="false">IFERROR(INDEX(기간별손익계산서!$C:$N,MATCH($O20,기간별손익계산서!$Q:$Q,0),5),0)</f>
        <v>1027470</v>
      </c>
      <c r="H20" s="130" t="n">
        <f aca="false">IFERROR(INDEX(기간별손익계산서!$C:$N,MATCH($O20,기간별손익계산서!$Q:$Q,0),6),0)</f>
        <v>0</v>
      </c>
      <c r="I20" s="113" t="n">
        <f aca="false">IFERROR(INDEX(기간별손익계산서!$C:$N,MATCH($O20,기간별손익계산서!$Q:$Q,0),MONTH(EOMONTH(인덱스!$K$1,-1))),0)</f>
        <v>1027470</v>
      </c>
      <c r="J20" s="113" t="n">
        <f aca="false">IFERROR(INDEX(기간별손익계산서!$C:$N,MATCH($O20,기간별손익계산서!$Q:$Q,0),MONTH(인덱스!$K$1)),0)</f>
        <v>0</v>
      </c>
      <c r="K20" s="113" t="n">
        <f aca="false">J20-I20</f>
        <v>-1027470</v>
      </c>
      <c r="L20" s="132" t="str">
        <f aca="false">IF(J20-I20&gt;0,"증가","감소")</f>
        <v>감소</v>
      </c>
      <c r="M20" s="133" t="s">
        <v>199</v>
      </c>
      <c r="N20" s="0" t="str">
        <f aca="false">SUBSTITUTE(A20," ","")</f>
        <v>퇴직급여</v>
      </c>
      <c r="O20" s="0" t="str">
        <f aca="false">N20&amp;"|"&amp;COUNTIF($N$7:N20,N20)</f>
        <v>퇴직급여|1</v>
      </c>
      <c r="P20" s="111" t="str">
        <f aca="false">IF($A20="","",IF(ISNUMBER(MATCH($O20,기간별손익계산서!$Q:$Q,0)),"✓ 일치","⚠ 확인필요"))</f>
        <v>✓ 일치</v>
      </c>
      <c r="Q20" s="112" t="n">
        <f aca="false">IFERROR(IF(I20=0,"",(J20-I20)/ABS(I20)),"")</f>
        <v>-1</v>
      </c>
    </row>
    <row r="21" customFormat="false" ht="22.5" hidden="false" customHeight="true" outlineLevel="0" collapsed="false">
      <c r="A21" s="127" t="s">
        <v>150</v>
      </c>
      <c r="B21" s="130" t="n">
        <f aca="false">IFERROR(INDEX(기간별손익계산서!$B:$B,MATCH($O21,기간별손익계산서!$Q:$Q,0)),0)</f>
        <v>84466359</v>
      </c>
      <c r="C21" s="130" t="n">
        <f aca="false">IFERROR(INDEX(기간별손익계산서!$C:$N,MATCH($O21,기간별손익계산서!$Q:$Q,0),1),0)</f>
        <v>13384368</v>
      </c>
      <c r="D21" s="130" t="n">
        <f aca="false">IFERROR(INDEX(기간별손익계산서!$C:$N,MATCH($O21,기간별손익계산서!$Q:$Q,0),2),0)</f>
        <v>12458555</v>
      </c>
      <c r="E21" s="130" t="n">
        <f aca="false">IFERROR(INDEX(기간별손익계산서!$C:$N,MATCH($O21,기간별손익계산서!$Q:$Q,0),3),0)</f>
        <v>11081209</v>
      </c>
      <c r="F21" s="130" t="n">
        <f aca="false">IFERROR(INDEX(기간별손익계산서!$C:$N,MATCH($O21,기간별손익계산서!$Q:$Q,0),4),0)</f>
        <v>14204566</v>
      </c>
      <c r="G21" s="130" t="n">
        <f aca="false">IFERROR(INDEX(기간별손익계산서!$C:$N,MATCH($O21,기간별손익계산서!$Q:$Q,0),5),0)</f>
        <v>21443516</v>
      </c>
      <c r="H21" s="130" t="n">
        <f aca="false">IFERROR(INDEX(기간별손익계산서!$C:$N,MATCH($O21,기간별손익계산서!$Q:$Q,0),6),0)</f>
        <v>11894145</v>
      </c>
      <c r="I21" s="113" t="n">
        <f aca="false">IFERROR(INDEX(기간별손익계산서!$C:$N,MATCH($O21,기간별손익계산서!$Q:$Q,0),MONTH(EOMONTH(인덱스!$K$1,-1))),0)</f>
        <v>21443516</v>
      </c>
      <c r="J21" s="113" t="n">
        <f aca="false">IFERROR(INDEX(기간별손익계산서!$C:$N,MATCH($O21,기간별손익계산서!$Q:$Q,0),MONTH(인덱스!$K$1)),0)</f>
        <v>11894145</v>
      </c>
      <c r="K21" s="113" t="n">
        <f aca="false">J21-I21</f>
        <v>-9549371</v>
      </c>
      <c r="L21" s="132" t="str">
        <f aca="false">IF(J21-I21&gt;0,"증가","감소")</f>
        <v>감소</v>
      </c>
      <c r="M21" s="134" t="s">
        <v>200</v>
      </c>
      <c r="N21" s="0" t="str">
        <f aca="false">SUBSTITUTE(A21," ","")</f>
        <v>복리후생비</v>
      </c>
      <c r="O21" s="0" t="str">
        <f aca="false">N21&amp;"|"&amp;COUNTIF($N$7:N21,N21)</f>
        <v>복리후생비|1</v>
      </c>
      <c r="P21" s="111" t="str">
        <f aca="false">IF($A21="","",IF(ISNUMBER(MATCH($O21,기간별손익계산서!$Q:$Q,0)),"✓ 일치","⚠ 확인필요"))</f>
        <v>✓ 일치</v>
      </c>
      <c r="Q21" s="112" t="n">
        <f aca="false">IFERROR(IF(I21=0,"",(J21-I21)/ABS(I21)),"")</f>
        <v>-0.445326736529588</v>
      </c>
    </row>
    <row r="22" customFormat="false" ht="22.5" hidden="false" customHeight="true" outlineLevel="0" collapsed="false">
      <c r="A22" s="127" t="s">
        <v>151</v>
      </c>
      <c r="B22" s="130" t="n">
        <f aca="false">IFERROR(INDEX(기간별손익계산서!$B:$B,MATCH($O22,기간별손익계산서!$Q:$Q,0)),0)</f>
        <v>3249000</v>
      </c>
      <c r="C22" s="130" t="n">
        <f aca="false">IFERROR(INDEX(기간별손익계산서!$C:$N,MATCH($O22,기간별손익계산서!$Q:$Q,0),1),0)</f>
        <v>370200</v>
      </c>
      <c r="D22" s="130" t="n">
        <f aca="false">IFERROR(INDEX(기간별손익계산서!$C:$N,MATCH($O22,기간별손익계산서!$Q:$Q,0),2),0)</f>
        <v>788000</v>
      </c>
      <c r="E22" s="130" t="n">
        <f aca="false">IFERROR(INDEX(기간별손익계산서!$C:$N,MATCH($O22,기간별손익계산서!$Q:$Q,0),3),0)</f>
        <v>539100</v>
      </c>
      <c r="F22" s="130" t="n">
        <f aca="false">IFERROR(INDEX(기간별손익계산서!$C:$N,MATCH($O22,기간별손익계산서!$Q:$Q,0),4),0)</f>
        <v>506700</v>
      </c>
      <c r="G22" s="130" t="n">
        <f aca="false">IFERROR(INDEX(기간별손익계산서!$C:$N,MATCH($O22,기간별손익계산서!$Q:$Q,0),5),0)</f>
        <v>827400</v>
      </c>
      <c r="H22" s="130" t="n">
        <f aca="false">IFERROR(INDEX(기간별손익계산서!$C:$N,MATCH($O22,기간별손익계산서!$Q:$Q,0),6),0)</f>
        <v>217600</v>
      </c>
      <c r="I22" s="113" t="n">
        <f aca="false">IFERROR(INDEX(기간별손익계산서!$C:$N,MATCH($O22,기간별손익계산서!$Q:$Q,0),MONTH(EOMONTH(인덱스!$K$1,-1))),0)</f>
        <v>827400</v>
      </c>
      <c r="J22" s="113" t="n">
        <f aca="false">IFERROR(INDEX(기간별손익계산서!$C:$N,MATCH($O22,기간별손익계산서!$Q:$Q,0),MONTH(인덱스!$K$1)),0)</f>
        <v>217600</v>
      </c>
      <c r="K22" s="113" t="n">
        <f aca="false">J22-I22</f>
        <v>-609800</v>
      </c>
      <c r="L22" s="132" t="str">
        <f aca="false">IF(J22-I22&gt;0,"증가","감소")</f>
        <v>감소</v>
      </c>
      <c r="M22" s="134" t="s">
        <v>201</v>
      </c>
      <c r="N22" s="0" t="str">
        <f aca="false">SUBSTITUTE(A22," ","")</f>
        <v>여비교통비</v>
      </c>
      <c r="O22" s="0" t="str">
        <f aca="false">N22&amp;"|"&amp;COUNTIF($N$7:N22,N22)</f>
        <v>여비교통비|1</v>
      </c>
      <c r="P22" s="111" t="str">
        <f aca="false">IF($A22="","",IF(ISNUMBER(MATCH($O22,기간별손익계산서!$Q:$Q,0)),"✓ 일치","⚠ 확인필요"))</f>
        <v>✓ 일치</v>
      </c>
      <c r="Q22" s="112" t="n">
        <f aca="false">IFERROR(IF(I22=0,"",(J22-I22)/ABS(I22)),"")</f>
        <v>-0.737007493352671</v>
      </c>
    </row>
    <row r="23" customFormat="false" ht="22.5" hidden="false" customHeight="true" outlineLevel="0" collapsed="false">
      <c r="A23" s="127" t="s">
        <v>152</v>
      </c>
      <c r="B23" s="130" t="n">
        <f aca="false">IFERROR(INDEX(기간별손익계산서!$B:$B,MATCH($O23,기간별손익계산서!$Q:$Q,0)),0)</f>
        <v>34625930</v>
      </c>
      <c r="C23" s="130" t="n">
        <f aca="false">IFERROR(INDEX(기간별손익계산서!$C:$N,MATCH($O23,기간별손익계산서!$Q:$Q,0),1),0)</f>
        <v>16172200</v>
      </c>
      <c r="D23" s="130" t="n">
        <f aca="false">IFERROR(INDEX(기간별손익계산서!$C:$N,MATCH($O23,기간별손익계산서!$Q:$Q,0),2),0)</f>
        <v>1913680</v>
      </c>
      <c r="E23" s="130" t="n">
        <f aca="false">IFERROR(INDEX(기간별손익계산서!$C:$N,MATCH($O23,기간별손익계산서!$Q:$Q,0),3),0)</f>
        <v>4930000</v>
      </c>
      <c r="F23" s="130" t="n">
        <f aca="false">IFERROR(INDEX(기간별손익계산서!$C:$N,MATCH($O23,기간별손익계산서!$Q:$Q,0),4),0)</f>
        <v>3218150</v>
      </c>
      <c r="G23" s="130" t="n">
        <f aca="false">IFERROR(INDEX(기간별손익계산서!$C:$N,MATCH($O23,기간별손익계산서!$Q:$Q,0),5),0)</f>
        <v>5064800</v>
      </c>
      <c r="H23" s="130" t="n">
        <f aca="false">IFERROR(INDEX(기간별손익계산서!$C:$N,MATCH($O23,기간별손익계산서!$Q:$Q,0),6),0)</f>
        <v>3327100</v>
      </c>
      <c r="I23" s="113" t="n">
        <f aca="false">IFERROR(INDEX(기간별손익계산서!$C:$N,MATCH($O23,기간별손익계산서!$Q:$Q,0),MONTH(EOMONTH(인덱스!$K$1,-1))),0)</f>
        <v>5064800</v>
      </c>
      <c r="J23" s="113" t="n">
        <f aca="false">IFERROR(INDEX(기간별손익계산서!$C:$N,MATCH($O23,기간별손익계산서!$Q:$Q,0),MONTH(인덱스!$K$1)),0)</f>
        <v>3327100</v>
      </c>
      <c r="K23" s="113" t="n">
        <f aca="false">J23-I23</f>
        <v>-1737700</v>
      </c>
      <c r="L23" s="132" t="str">
        <f aca="false">IF(J23-I23&gt;0,"증가","감소")</f>
        <v>감소</v>
      </c>
      <c r="M23" s="134"/>
      <c r="N23" s="0" t="str">
        <f aca="false">SUBSTITUTE(A23," ","")</f>
        <v>접대비</v>
      </c>
      <c r="O23" s="0" t="str">
        <f aca="false">N23&amp;"|"&amp;COUNTIF($N$7:N23,N23)</f>
        <v>접대비|1</v>
      </c>
      <c r="P23" s="111" t="str">
        <f aca="false">IF($A23="","",IF(ISNUMBER(MATCH($O23,기간별손익계산서!$Q:$Q,0)),"✓ 일치","⚠ 확인필요"))</f>
        <v>✓ 일치</v>
      </c>
      <c r="Q23" s="112" t="n">
        <f aca="false">IFERROR(IF(I23=0,"",(J23-I23)/ABS(I23)),"")</f>
        <v>-0.343093508134576</v>
      </c>
    </row>
    <row r="24" customFormat="false" ht="22.5" hidden="false" customHeight="true" outlineLevel="0" collapsed="false">
      <c r="A24" s="127" t="s">
        <v>153</v>
      </c>
      <c r="B24" s="130" t="n">
        <f aca="false">IFERROR(INDEX(기간별손익계산서!$B:$B,MATCH($O24,기간별손익계산서!$Q:$Q,0)),0)</f>
        <v>9388202</v>
      </c>
      <c r="C24" s="130" t="n">
        <f aca="false">IFERROR(INDEX(기간별손익계산서!$C:$N,MATCH($O24,기간별손익계산서!$Q:$Q,0),1),0)</f>
        <v>1573665</v>
      </c>
      <c r="D24" s="130" t="n">
        <f aca="false">IFERROR(INDEX(기간별손익계산서!$C:$N,MATCH($O24,기간별손익계산서!$Q:$Q,0),2),0)</f>
        <v>1544148</v>
      </c>
      <c r="E24" s="130" t="n">
        <f aca="false">IFERROR(INDEX(기간별손익계산서!$C:$N,MATCH($O24,기간별손익계산서!$Q:$Q,0),3),0)</f>
        <v>1578167</v>
      </c>
      <c r="F24" s="130" t="n">
        <f aca="false">IFERROR(INDEX(기간별손익계산서!$C:$N,MATCH($O24,기간별손익계산서!$Q:$Q,0),4),0)</f>
        <v>1579893</v>
      </c>
      <c r="G24" s="130" t="n">
        <f aca="false">IFERROR(INDEX(기간별손익계산서!$C:$N,MATCH($O24,기간별손익계산서!$Q:$Q,0),5),0)</f>
        <v>1564424</v>
      </c>
      <c r="H24" s="130" t="n">
        <f aca="false">IFERROR(INDEX(기간별손익계산서!$C:$N,MATCH($O24,기간별손익계산서!$Q:$Q,0),6),0)</f>
        <v>1547905</v>
      </c>
      <c r="I24" s="113" t="n">
        <f aca="false">IFERROR(INDEX(기간별손익계산서!$C:$N,MATCH($O24,기간별손익계산서!$Q:$Q,0),MONTH(EOMONTH(인덱스!$K$1,-1))),0)</f>
        <v>1564424</v>
      </c>
      <c r="J24" s="113" t="n">
        <f aca="false">IFERROR(INDEX(기간별손익계산서!$C:$N,MATCH($O24,기간별손익계산서!$Q:$Q,0),MONTH(인덱스!$K$1)),0)</f>
        <v>1547905</v>
      </c>
      <c r="K24" s="113" t="n">
        <f aca="false">J24-I24</f>
        <v>-16519</v>
      </c>
      <c r="L24" s="132" t="str">
        <f aca="false">IF(J24-I24&gt;0,"증가","감소")</f>
        <v>감소</v>
      </c>
      <c r="M24" s="134" t="s">
        <v>202</v>
      </c>
      <c r="N24" s="0" t="str">
        <f aca="false">SUBSTITUTE(A24," ","")</f>
        <v>통신비</v>
      </c>
      <c r="O24" s="0" t="str">
        <f aca="false">N24&amp;"|"&amp;COUNTIF($N$7:N24,N24)</f>
        <v>통신비|1</v>
      </c>
      <c r="P24" s="111" t="str">
        <f aca="false">IF($A24="","",IF(ISNUMBER(MATCH($O24,기간별손익계산서!$Q:$Q,0)),"✓ 일치","⚠ 확인필요"))</f>
        <v>✓ 일치</v>
      </c>
      <c r="Q24" s="112" t="n">
        <f aca="false">IFERROR(IF(I24=0,"",(J24-I24)/ABS(I24)),"")</f>
        <v>-0.0105591578753586</v>
      </c>
    </row>
    <row r="25" customFormat="false" ht="22.5" hidden="false" customHeight="true" outlineLevel="0" collapsed="false">
      <c r="A25" s="127" t="s">
        <v>154</v>
      </c>
      <c r="B25" s="130" t="n">
        <f aca="false">IFERROR(INDEX(기간별손익계산서!$B:$B,MATCH($O25,기간별손익계산서!$Q:$Q,0)),0)</f>
        <v>498880</v>
      </c>
      <c r="C25" s="130" t="n">
        <f aca="false">IFERROR(INDEX(기간별손익계산서!$C:$N,MATCH($O25,기간별손익계산서!$Q:$Q,0),1),0)</f>
        <v>224570</v>
      </c>
      <c r="D25" s="130" t="n">
        <f aca="false">IFERROR(INDEX(기간별손익계산서!$C:$N,MATCH($O25,기간별손익계산서!$Q:$Q,0),2),0)</f>
        <v>139230</v>
      </c>
      <c r="E25" s="130" t="n">
        <f aca="false">IFERROR(INDEX(기간별손익계산서!$C:$N,MATCH($O25,기간별손익계산서!$Q:$Q,0),3),0)</f>
        <v>36040</v>
      </c>
      <c r="F25" s="130" t="n">
        <f aca="false">IFERROR(INDEX(기간별손익계산서!$C:$N,MATCH($O25,기간별손익계산서!$Q:$Q,0),4),0)</f>
        <v>26440</v>
      </c>
      <c r="G25" s="130" t="n">
        <f aca="false">IFERROR(INDEX(기간별손익계산서!$C:$N,MATCH($O25,기간별손익계산서!$Q:$Q,0),5),0)</f>
        <v>41830</v>
      </c>
      <c r="H25" s="130" t="n">
        <f aca="false">IFERROR(INDEX(기간별손익계산서!$C:$N,MATCH($O25,기간별손익계산서!$Q:$Q,0),6),0)</f>
        <v>30770</v>
      </c>
      <c r="I25" s="113" t="n">
        <f aca="false">IFERROR(INDEX(기간별손익계산서!$C:$N,MATCH($O25,기간별손익계산서!$Q:$Q,0),MONTH(EOMONTH(인덱스!$K$1,-1))),0)</f>
        <v>41830</v>
      </c>
      <c r="J25" s="113" t="n">
        <f aca="false">IFERROR(INDEX(기간별손익계산서!$C:$N,MATCH($O25,기간별손익계산서!$Q:$Q,0),MONTH(인덱스!$K$1)),0)</f>
        <v>30770</v>
      </c>
      <c r="K25" s="113" t="n">
        <f aca="false">J25-I25</f>
        <v>-11060</v>
      </c>
      <c r="L25" s="132" t="str">
        <f aca="false">IF(J25-I25&gt;0,"증가","감소")</f>
        <v>감소</v>
      </c>
      <c r="M25" s="134" t="s">
        <v>203</v>
      </c>
      <c r="N25" s="0" t="str">
        <f aca="false">SUBSTITUTE(A25," ","")</f>
        <v>수도광열비</v>
      </c>
      <c r="O25" s="0" t="str">
        <f aca="false">N25&amp;"|"&amp;COUNTIF($N$7:N25,N25)</f>
        <v>수도광열비|1</v>
      </c>
      <c r="P25" s="111" t="str">
        <f aca="false">IF($A25="","",IF(ISNUMBER(MATCH($O25,기간별손익계산서!$Q:$Q,0)),"✓ 일치","⚠ 확인필요"))</f>
        <v>✓ 일치</v>
      </c>
      <c r="Q25" s="112" t="n">
        <f aca="false">IFERROR(IF(I25=0,"",(J25-I25)/ABS(I25)),"")</f>
        <v>-0.264403538130528</v>
      </c>
    </row>
    <row r="26" customFormat="false" ht="22.5" hidden="false" customHeight="true" outlineLevel="0" collapsed="false">
      <c r="A26" s="127" t="s">
        <v>155</v>
      </c>
      <c r="B26" s="130" t="n">
        <f aca="false">IFERROR(INDEX(기간별손익계산서!$B:$B,MATCH($O26,기간별손익계산서!$Q:$Q,0)),0)</f>
        <v>8343428</v>
      </c>
      <c r="C26" s="130" t="n">
        <f aca="false">IFERROR(INDEX(기간별손익계산서!$C:$N,MATCH($O26,기간별손익계산서!$Q:$Q,0),1),0)</f>
        <v>1655930</v>
      </c>
      <c r="D26" s="130" t="n">
        <f aca="false">IFERROR(INDEX(기간별손익계산서!$C:$N,MATCH($O26,기간별손익계산서!$Q:$Q,0),2),0)</f>
        <v>1864436</v>
      </c>
      <c r="E26" s="130" t="n">
        <f aca="false">IFERROR(INDEX(기간별손익계산서!$C:$N,MATCH($O26,기간별손익계산서!$Q:$Q,0),3),0)</f>
        <v>1713705</v>
      </c>
      <c r="F26" s="130" t="n">
        <f aca="false">IFERROR(INDEX(기간별손익계산서!$C:$N,MATCH($O26,기간별손익계산서!$Q:$Q,0),4),0)</f>
        <v>1197096</v>
      </c>
      <c r="G26" s="130" t="n">
        <f aca="false">IFERROR(INDEX(기간별손익계산서!$C:$N,MATCH($O26,기간별손익계산서!$Q:$Q,0),5),0)</f>
        <v>985023</v>
      </c>
      <c r="H26" s="130" t="n">
        <f aca="false">IFERROR(INDEX(기간별손익계산서!$C:$N,MATCH($O26,기간별손익계산서!$Q:$Q,0),6),0)</f>
        <v>927238</v>
      </c>
      <c r="I26" s="113" t="n">
        <f aca="false">IFERROR(INDEX(기간별손익계산서!$C:$N,MATCH($O26,기간별손익계산서!$Q:$Q,0),MONTH(EOMONTH(인덱스!$K$1,-1))),0)</f>
        <v>985023</v>
      </c>
      <c r="J26" s="113" t="n">
        <f aca="false">IFERROR(INDEX(기간별손익계산서!$C:$N,MATCH($O26,기간별손익계산서!$Q:$Q,0),MONTH(인덱스!$K$1)),0)</f>
        <v>927238</v>
      </c>
      <c r="K26" s="113" t="n">
        <f aca="false">J26-I26</f>
        <v>-57785</v>
      </c>
      <c r="L26" s="132" t="str">
        <f aca="false">IF(J26-I26&gt;0,"증가","감소")</f>
        <v>감소</v>
      </c>
      <c r="M26" s="134" t="s">
        <v>204</v>
      </c>
      <c r="N26" s="0" t="str">
        <f aca="false">SUBSTITUTE(A26," ","")</f>
        <v>전력비</v>
      </c>
      <c r="O26" s="0" t="str">
        <f aca="false">N26&amp;"|"&amp;COUNTIF($N$7:N26,N26)</f>
        <v>전력비|1</v>
      </c>
      <c r="P26" s="111" t="str">
        <f aca="false">IF($A26="","",IF(ISNUMBER(MATCH($O26,기간별손익계산서!$Q:$Q,0)),"✓ 일치","⚠ 확인필요"))</f>
        <v>✓ 일치</v>
      </c>
      <c r="Q26" s="112" t="n">
        <f aca="false">IFERROR(IF(I26=0,"",(J26-I26)/ABS(I26)),"")</f>
        <v>-0.0586636048092278</v>
      </c>
    </row>
    <row r="27" customFormat="false" ht="23.25" hidden="false" customHeight="true" outlineLevel="0" collapsed="false">
      <c r="A27" s="127" t="s">
        <v>156</v>
      </c>
      <c r="B27" s="130" t="n">
        <f aca="false">IFERROR(INDEX(기간별손익계산서!$B:$B,MATCH($O27,기간별손익계산서!$Q:$Q,0)),0)</f>
        <v>48976560</v>
      </c>
      <c r="C27" s="130" t="n">
        <f aca="false">IFERROR(INDEX(기간별손익계산서!$C:$N,MATCH($O27,기간별손익계산서!$Q:$Q,0),1),0)</f>
        <v>7166210</v>
      </c>
      <c r="D27" s="130" t="n">
        <f aca="false">IFERROR(INDEX(기간별손익계산서!$C:$N,MATCH($O27,기간별손익계산서!$Q:$Q,0),2),0)</f>
        <v>9804760</v>
      </c>
      <c r="E27" s="130" t="n">
        <f aca="false">IFERROR(INDEX(기간별손익계산서!$C:$N,MATCH($O27,기간별손익계산서!$Q:$Q,0),3),0)</f>
        <v>7169550</v>
      </c>
      <c r="F27" s="130" t="n">
        <f aca="false">IFERROR(INDEX(기간별손익계산서!$C:$N,MATCH($O27,기간별손익계산서!$Q:$Q,0),4),0)</f>
        <v>7177450</v>
      </c>
      <c r="G27" s="130" t="n">
        <f aca="false">IFERROR(INDEX(기간별손익계산서!$C:$N,MATCH($O27,기간별손익계산서!$Q:$Q,0),5),0)</f>
        <v>7267440</v>
      </c>
      <c r="H27" s="130" t="n">
        <f aca="false">IFERROR(INDEX(기간별손익계산서!$C:$N,MATCH($O27,기간별손익계산서!$Q:$Q,0),6),0)</f>
        <v>10391150</v>
      </c>
      <c r="I27" s="113" t="n">
        <f aca="false">IFERROR(INDEX(기간별손익계산서!$C:$N,MATCH($O27,기간별손익계산서!$Q:$Q,0),MONTH(EOMONTH(인덱스!$K$1,-1))),0)</f>
        <v>7267440</v>
      </c>
      <c r="J27" s="113" t="n">
        <f aca="false">IFERROR(INDEX(기간별손익계산서!$C:$N,MATCH($O27,기간별손익계산서!$Q:$Q,0),MONTH(인덱스!$K$1)),0)</f>
        <v>10391150</v>
      </c>
      <c r="K27" s="113" t="n">
        <f aca="false">J27-I27</f>
        <v>3123710</v>
      </c>
      <c r="L27" s="132" t="str">
        <f aca="false">IF(J27-I27&gt;0,"증가","감소")</f>
        <v>증가</v>
      </c>
      <c r="M27" s="134" t="s">
        <v>205</v>
      </c>
      <c r="N27" s="0" t="str">
        <f aca="false">SUBSTITUTE(A27," ","")</f>
        <v>세금과공과금</v>
      </c>
      <c r="O27" s="0" t="str">
        <f aca="false">N27&amp;"|"&amp;COUNTIF($N$7:N27,N27)</f>
        <v>세금과공과금|1</v>
      </c>
      <c r="P27" s="111" t="str">
        <f aca="false">IF($A27="","",IF(ISNUMBER(MATCH($O27,기간별손익계산서!$Q:$Q,0)),"✓ 일치","⚠ 확인필요"))</f>
        <v>✓ 일치</v>
      </c>
      <c r="Q27" s="112" t="n">
        <f aca="false">IFERROR(IF(I27=0,"",(J27-I27)/ABS(I27)),"")</f>
        <v>0.429822606034587</v>
      </c>
    </row>
    <row r="28" customFormat="false" ht="22.5" hidden="false" customHeight="true" outlineLevel="0" collapsed="false">
      <c r="A28" s="127" t="s">
        <v>157</v>
      </c>
      <c r="B28" s="130" t="n">
        <f aca="false">IFERROR(INDEX(기간별손익계산서!$B:$B,MATCH($O28,기간별손익계산서!$Q:$Q,0)),0)</f>
        <v>74070444</v>
      </c>
      <c r="C28" s="130" t="n">
        <f aca="false">IFERROR(INDEX(기간별손익계산서!$C:$N,MATCH($O28,기간별손익계산서!$Q:$Q,0),1),0)</f>
        <v>12315392</v>
      </c>
      <c r="D28" s="130" t="n">
        <f aca="false">IFERROR(INDEX(기간별손익계산서!$C:$N,MATCH($O28,기간별손익계산서!$Q:$Q,0),2),0)</f>
        <v>12351012</v>
      </c>
      <c r="E28" s="130" t="n">
        <f aca="false">IFERROR(INDEX(기간별손익계산서!$C:$N,MATCH($O28,기간별손익계산서!$Q:$Q,0),3),0)</f>
        <v>12351010</v>
      </c>
      <c r="F28" s="130" t="n">
        <f aca="false">IFERROR(INDEX(기간별손익계산서!$C:$N,MATCH($O28,기간별손익계산서!$Q:$Q,0),4),0)</f>
        <v>12351010</v>
      </c>
      <c r="G28" s="130" t="n">
        <f aca="false">IFERROR(INDEX(기간별손익계산서!$C:$N,MATCH($O28,기간별손익계산서!$Q:$Q,0),5),0)</f>
        <v>12351010</v>
      </c>
      <c r="H28" s="130" t="n">
        <f aca="false">IFERROR(INDEX(기간별손익계산서!$C:$N,MATCH($O28,기간별손익계산서!$Q:$Q,0),6),0)</f>
        <v>12351010</v>
      </c>
      <c r="I28" s="113" t="n">
        <f aca="false">IFERROR(INDEX(기간별손익계산서!$C:$N,MATCH($O28,기간별손익계산서!$Q:$Q,0),MONTH(EOMONTH(인덱스!$K$1,-1))),0)</f>
        <v>12351010</v>
      </c>
      <c r="J28" s="113" t="n">
        <f aca="false">IFERROR(INDEX(기간별손익계산서!$C:$N,MATCH($O28,기간별손익계산서!$Q:$Q,0),MONTH(인덱스!$K$1)),0)</f>
        <v>12351010</v>
      </c>
      <c r="K28" s="113" t="n">
        <f aca="false">J28-I28</f>
        <v>0</v>
      </c>
      <c r="L28" s="132" t="str">
        <f aca="false">IF(J28-I28&gt;0,"증가","감소")</f>
        <v>감소</v>
      </c>
      <c r="M28" s="134" t="s">
        <v>206</v>
      </c>
      <c r="N28" s="0" t="str">
        <f aca="false">SUBSTITUTE(A28," ","")</f>
        <v>감가상각비</v>
      </c>
      <c r="O28" s="0" t="str">
        <f aca="false">N28&amp;"|"&amp;COUNTIF($N$7:N28,N28)</f>
        <v>감가상각비|1</v>
      </c>
      <c r="P28" s="111" t="str">
        <f aca="false">IF($A28="","",IF(ISNUMBER(MATCH($O28,기간별손익계산서!$Q:$Q,0)),"✓ 일치","⚠ 확인필요"))</f>
        <v>✓ 일치</v>
      </c>
      <c r="Q28" s="112" t="n">
        <f aca="false">IFERROR(IF(I28=0,"",(J28-I28)/ABS(I28)),"")</f>
        <v>0</v>
      </c>
    </row>
    <row r="29" customFormat="false" ht="22.5" hidden="false" customHeight="true" outlineLevel="0" collapsed="false">
      <c r="A29" s="127" t="s">
        <v>158</v>
      </c>
      <c r="B29" s="130" t="n">
        <f aca="false">IFERROR(INDEX(기간별손익계산서!$B:$B,MATCH($O29,기간별손익계산서!$Q:$Q,0)),0)</f>
        <v>81000000</v>
      </c>
      <c r="C29" s="130" t="n">
        <f aca="false">IFERROR(INDEX(기간별손익계산서!$C:$N,MATCH($O29,기간별손익계산서!$Q:$Q,0),1),0)</f>
        <v>13500000</v>
      </c>
      <c r="D29" s="130" t="n">
        <f aca="false">IFERROR(INDEX(기간별손익계산서!$C:$N,MATCH($O29,기간별손익계산서!$Q:$Q,0),2),0)</f>
        <v>13500000</v>
      </c>
      <c r="E29" s="130" t="n">
        <f aca="false">IFERROR(INDEX(기간별손익계산서!$C:$N,MATCH($O29,기간별손익계산서!$Q:$Q,0),3),0)</f>
        <v>13500000</v>
      </c>
      <c r="F29" s="130" t="n">
        <f aca="false">IFERROR(INDEX(기간별손익계산서!$C:$N,MATCH($O29,기간별손익계산서!$Q:$Q,0),4),0)</f>
        <v>13500000</v>
      </c>
      <c r="G29" s="130" t="n">
        <f aca="false">IFERROR(INDEX(기간별손익계산서!$C:$N,MATCH($O29,기간별손익계산서!$Q:$Q,0),5),0)</f>
        <v>13500000</v>
      </c>
      <c r="H29" s="130" t="n">
        <f aca="false">IFERROR(INDEX(기간별손익계산서!$C:$N,MATCH($O29,기간별손익계산서!$Q:$Q,0),6),0)</f>
        <v>13500000</v>
      </c>
      <c r="I29" s="113" t="n">
        <f aca="false">IFERROR(INDEX(기간별손익계산서!$C:$N,MATCH($O29,기간별손익계산서!$Q:$Q,0),MONTH(EOMONTH(인덱스!$K$1,-1))),0)</f>
        <v>13500000</v>
      </c>
      <c r="J29" s="113" t="n">
        <f aca="false">IFERROR(INDEX(기간별손익계산서!$C:$N,MATCH($O29,기간별손익계산서!$Q:$Q,0),MONTH(인덱스!$K$1)),0)</f>
        <v>13500000</v>
      </c>
      <c r="K29" s="113" t="n">
        <f aca="false">J29-I29</f>
        <v>0</v>
      </c>
      <c r="L29" s="132" t="s">
        <v>198</v>
      </c>
      <c r="M29" s="134" t="s">
        <v>207</v>
      </c>
      <c r="N29" s="0" t="str">
        <f aca="false">SUBSTITUTE(A29," ","")</f>
        <v>지급임차료</v>
      </c>
      <c r="O29" s="0" t="str">
        <f aca="false">N29&amp;"|"&amp;COUNTIF($N$7:N29,N29)</f>
        <v>지급임차료|1</v>
      </c>
      <c r="P29" s="111" t="str">
        <f aca="false">IF($A29="","",IF(ISNUMBER(MATCH($O29,기간별손익계산서!$Q:$Q,0)),"✓ 일치","⚠ 확인필요"))</f>
        <v>✓ 일치</v>
      </c>
      <c r="Q29" s="112" t="n">
        <f aca="false">IFERROR(IF(I29=0,"",(J29-I29)/ABS(I29)),"")</f>
        <v>0</v>
      </c>
    </row>
    <row r="30" customFormat="false" ht="22.5" hidden="false" customHeight="true" outlineLevel="0" collapsed="false">
      <c r="A30" s="127" t="s">
        <v>159</v>
      </c>
      <c r="B30" s="130" t="n">
        <f aca="false">IFERROR(INDEX(기간별손익계산서!$B:$B,MATCH($O30,기간별손익계산서!$Q:$Q,0)),0)</f>
        <v>46145145</v>
      </c>
      <c r="C30" s="130" t="n">
        <f aca="false">IFERROR(INDEX(기간별손익계산서!$C:$N,MATCH($O30,기간별손익계산서!$Q:$Q,0),1),0)</f>
        <v>17822605</v>
      </c>
      <c r="D30" s="130" t="n">
        <f aca="false">IFERROR(INDEX(기간별손익계산서!$C:$N,MATCH($O30,기간별손익계산서!$Q:$Q,0),2),0)</f>
        <v>5896727</v>
      </c>
      <c r="E30" s="130" t="n">
        <f aca="false">IFERROR(INDEX(기간별손익계산서!$C:$N,MATCH($O30,기간별손익계산서!$Q:$Q,0),3),0)</f>
        <v>9987150</v>
      </c>
      <c r="F30" s="130" t="n">
        <f aca="false">IFERROR(INDEX(기간별손익계산서!$C:$N,MATCH($O30,기간별손익계산서!$Q:$Q,0),4),0)</f>
        <v>4591574</v>
      </c>
      <c r="G30" s="130" t="n">
        <f aca="false">IFERROR(INDEX(기간별손익계산서!$C:$N,MATCH($O30,기간별손익계산서!$Q:$Q,0),5),0)</f>
        <v>3955890</v>
      </c>
      <c r="H30" s="130" t="n">
        <f aca="false">IFERROR(INDEX(기간별손익계산서!$C:$N,MATCH($O30,기간별손익계산서!$Q:$Q,0),6),0)</f>
        <v>3891199</v>
      </c>
      <c r="I30" s="113" t="n">
        <f aca="false">IFERROR(INDEX(기간별손익계산서!$C:$N,MATCH($O30,기간별손익계산서!$Q:$Q,0),MONTH(EOMONTH(인덱스!$K$1,-1))),0)</f>
        <v>3955890</v>
      </c>
      <c r="J30" s="113" t="n">
        <f aca="false">IFERROR(INDEX(기간별손익계산서!$C:$N,MATCH($O30,기간별손익계산서!$Q:$Q,0),MONTH(인덱스!$K$1)),0)</f>
        <v>3891199</v>
      </c>
      <c r="K30" s="113" t="n">
        <f aca="false">J30-I30</f>
        <v>-64691</v>
      </c>
      <c r="L30" s="132" t="str">
        <f aca="false">IF(J30-I30&gt;0,"증가","감소")</f>
        <v>감소</v>
      </c>
      <c r="M30" s="134" t="s">
        <v>208</v>
      </c>
      <c r="N30" s="0" t="str">
        <f aca="false">SUBSTITUTE(A30," ","")</f>
        <v>보험료</v>
      </c>
      <c r="O30" s="0" t="str">
        <f aca="false">N30&amp;"|"&amp;COUNTIF($N$7:N30,N30)</f>
        <v>보험료|1</v>
      </c>
      <c r="P30" s="111" t="str">
        <f aca="false">IF($A30="","",IF(ISNUMBER(MATCH($O30,기간별손익계산서!$Q:$Q,0)),"✓ 일치","⚠ 확인필요"))</f>
        <v>✓ 일치</v>
      </c>
      <c r="Q30" s="112" t="n">
        <f aca="false">IFERROR(IF(I30=0,"",(J30-I30)/ABS(I30)),"")</f>
        <v>-0.0163530836297268</v>
      </c>
    </row>
    <row r="31" customFormat="false" ht="22.5" hidden="false" customHeight="true" outlineLevel="0" collapsed="false">
      <c r="A31" s="127" t="s">
        <v>160</v>
      </c>
      <c r="B31" s="130" t="n">
        <f aca="false">IFERROR(INDEX(기간별손익계산서!$B:$B,MATCH($O31,기간별손익계산서!$Q:$Q,0)),0)</f>
        <v>115780294</v>
      </c>
      <c r="C31" s="130" t="n">
        <f aca="false">IFERROR(INDEX(기간별손익계산서!$C:$N,MATCH($O31,기간별손익계산서!$Q:$Q,0),1),0)</f>
        <v>16936992</v>
      </c>
      <c r="D31" s="130" t="n">
        <f aca="false">IFERROR(INDEX(기간별손익계산서!$C:$N,MATCH($O31,기간별손익계산서!$Q:$Q,0),2),0)</f>
        <v>22883144</v>
      </c>
      <c r="E31" s="130" t="n">
        <f aca="false">IFERROR(INDEX(기간별손익계산서!$C:$N,MATCH($O31,기간별손익계산서!$Q:$Q,0),3),0)</f>
        <v>18056953</v>
      </c>
      <c r="F31" s="130" t="n">
        <f aca="false">IFERROR(INDEX(기간별손익계산서!$C:$N,MATCH($O31,기간별손익계산서!$Q:$Q,0),4),0)</f>
        <v>20489068</v>
      </c>
      <c r="G31" s="130" t="n">
        <f aca="false">IFERROR(INDEX(기간별손익계산서!$C:$N,MATCH($O31,기간별손익계산서!$Q:$Q,0),5),0)</f>
        <v>18675432</v>
      </c>
      <c r="H31" s="130" t="n">
        <f aca="false">IFERROR(INDEX(기간별손익계산서!$C:$N,MATCH($O31,기간별손익계산서!$Q:$Q,0),6),0)</f>
        <v>18738705</v>
      </c>
      <c r="I31" s="113" t="n">
        <f aca="false">IFERROR(INDEX(기간별손익계산서!$C:$N,MATCH($O31,기간별손익계산서!$Q:$Q,0),MONTH(EOMONTH(인덱스!$K$1,-1))),0)</f>
        <v>18675432</v>
      </c>
      <c r="J31" s="113" t="n">
        <f aca="false">IFERROR(INDEX(기간별손익계산서!$C:$N,MATCH($O31,기간별손익계산서!$Q:$Q,0),MONTH(인덱스!$K$1)),0)</f>
        <v>18738705</v>
      </c>
      <c r="K31" s="113" t="n">
        <f aca="false">J31-I31</f>
        <v>63273</v>
      </c>
      <c r="L31" s="132" t="str">
        <f aca="false">IF(J31-I31&gt;0,"증가","감소")</f>
        <v>증가</v>
      </c>
      <c r="M31" s="134" t="s">
        <v>209</v>
      </c>
      <c r="N31" s="0" t="str">
        <f aca="false">SUBSTITUTE(A31," ","")</f>
        <v>차량유지비</v>
      </c>
      <c r="O31" s="0" t="str">
        <f aca="false">N31&amp;"|"&amp;COUNTIF($N$7:N31,N31)</f>
        <v>차량유지비|1</v>
      </c>
      <c r="P31" s="111" t="str">
        <f aca="false">IF($A31="","",IF(ISNUMBER(MATCH($O31,기간별손익계산서!$Q:$Q,0)),"✓ 일치","⚠ 확인필요"))</f>
        <v>✓ 일치</v>
      </c>
      <c r="Q31" s="112" t="n">
        <f aca="false">IFERROR(IF(I31=0,"",(J31-I31)/ABS(I31)),"")</f>
        <v>0.00338803407599888</v>
      </c>
    </row>
    <row r="32" customFormat="false" ht="22.5" hidden="false" customHeight="true" outlineLevel="0" collapsed="false">
      <c r="A32" s="127" t="s">
        <v>161</v>
      </c>
      <c r="B32" s="130" t="n">
        <f aca="false">IFERROR(INDEX(기간별손익계산서!$B:$B,MATCH($O32,기간별손익계산서!$Q:$Q,0)),0)</f>
        <v>14220303</v>
      </c>
      <c r="C32" s="130" t="n">
        <f aca="false">IFERROR(INDEX(기간별손익계산서!$C:$N,MATCH($O32,기간별손익계산서!$Q:$Q,0),1),0)</f>
        <v>3218046</v>
      </c>
      <c r="D32" s="130" t="n">
        <f aca="false">IFERROR(INDEX(기간별손익계산서!$C:$N,MATCH($O32,기간별손익계산서!$Q:$Q,0),2),0)</f>
        <v>1674100</v>
      </c>
      <c r="E32" s="130" t="n">
        <f aca="false">IFERROR(INDEX(기간별손익계산서!$C:$N,MATCH($O32,기간별손익계산서!$Q:$Q,0),3),0)</f>
        <v>2256119</v>
      </c>
      <c r="F32" s="130" t="n">
        <f aca="false">IFERROR(INDEX(기간별손익계산서!$C:$N,MATCH($O32,기간별손익계산서!$Q:$Q,0),4),0)</f>
        <v>1300828</v>
      </c>
      <c r="G32" s="130" t="n">
        <f aca="false">IFERROR(INDEX(기간별손익계산서!$C:$N,MATCH($O32,기간별손익계산서!$Q:$Q,0),5),0)</f>
        <v>1999546</v>
      </c>
      <c r="H32" s="130" t="n">
        <f aca="false">IFERROR(INDEX(기간별손익계산서!$C:$N,MATCH($O32,기간별손익계산서!$Q:$Q,0),6),0)</f>
        <v>3771664</v>
      </c>
      <c r="I32" s="113" t="n">
        <f aca="false">IFERROR(INDEX(기간별손익계산서!$C:$N,MATCH($O32,기간별손익계산서!$Q:$Q,0),MONTH(EOMONTH(인덱스!$K$1,-1))),0)</f>
        <v>1999546</v>
      </c>
      <c r="J32" s="113" t="n">
        <f aca="false">IFERROR(INDEX(기간별손익계산서!$C:$N,MATCH($O32,기간별손익계산서!$Q:$Q,0),MONTH(인덱스!$K$1)),0)</f>
        <v>3771664</v>
      </c>
      <c r="K32" s="113" t="n">
        <f aca="false">J32-I32</f>
        <v>1772118</v>
      </c>
      <c r="L32" s="132" t="str">
        <f aca="false">IF(J32-I32&gt;0,"증가","감소")</f>
        <v>증가</v>
      </c>
      <c r="M32" s="134" t="s">
        <v>210</v>
      </c>
      <c r="N32" s="0" t="str">
        <f aca="false">SUBSTITUTE(A32," ","")</f>
        <v>운반비</v>
      </c>
      <c r="O32" s="0" t="str">
        <f aca="false">N32&amp;"|"&amp;COUNTIF($N$7:N32,N32)</f>
        <v>운반비|1</v>
      </c>
      <c r="P32" s="111" t="str">
        <f aca="false">IF($A32="","",IF(ISNUMBER(MATCH($O32,기간별손익계산서!$Q:$Q,0)),"✓ 일치","⚠ 확인필요"))</f>
        <v>✓ 일치</v>
      </c>
      <c r="Q32" s="112" t="n">
        <f aca="false">IFERROR(IF(I32=0,"",(J32-I32)/ABS(I32)),"")</f>
        <v>0.886260181061101</v>
      </c>
    </row>
    <row r="33" customFormat="false" ht="22.5" hidden="false" customHeight="true" outlineLevel="0" collapsed="false">
      <c r="A33" s="127" t="s">
        <v>162</v>
      </c>
      <c r="B33" s="130" t="n">
        <f aca="false">IFERROR(INDEX(기간별손익계산서!$B:$B,MATCH($O33,기간별손익계산서!$Q:$Q,0)),0)</f>
        <v>0</v>
      </c>
      <c r="C33" s="130" t="n">
        <f aca="false">IFERROR(INDEX(기간별손익계산서!$C:$N,MATCH($O33,기간별손익계산서!$Q:$Q,0),1),0)</f>
        <v>0</v>
      </c>
      <c r="D33" s="130" t="n">
        <f aca="false">IFERROR(INDEX(기간별손익계산서!$C:$N,MATCH($O33,기간별손익계산서!$Q:$Q,0),2),0)</f>
        <v>0</v>
      </c>
      <c r="E33" s="130" t="n">
        <f aca="false">IFERROR(INDEX(기간별손익계산서!$C:$N,MATCH($O33,기간별손익계산서!$Q:$Q,0),3),0)</f>
        <v>0</v>
      </c>
      <c r="F33" s="130" t="n">
        <f aca="false">IFERROR(INDEX(기간별손익계산서!$C:$N,MATCH($O33,기간별손익계산서!$Q:$Q,0),4),0)</f>
        <v>0</v>
      </c>
      <c r="G33" s="130" t="n">
        <f aca="false">IFERROR(INDEX(기간별손익계산서!$C:$N,MATCH($O33,기간별손익계산서!$Q:$Q,0),5),0)</f>
        <v>0</v>
      </c>
      <c r="H33" s="130" t="n">
        <f aca="false">IFERROR(INDEX(기간별손익계산서!$C:$N,MATCH($O33,기간별손익계산서!$Q:$Q,0),6),0)</f>
        <v>0</v>
      </c>
      <c r="I33" s="113" t="n">
        <f aca="false">IFERROR(INDEX(기간별손익계산서!$C:$N,MATCH($O33,기간별손익계산서!$Q:$Q,0),MONTH(EOMONTH(인덱스!$K$1,-1))),0)</f>
        <v>0</v>
      </c>
      <c r="J33" s="113" t="n">
        <f aca="false">IFERROR(INDEX(기간별손익계산서!$C:$N,MATCH($O33,기간별손익계산서!$Q:$Q,0),MONTH(인덱스!$K$1)),0)</f>
        <v>0</v>
      </c>
      <c r="K33" s="113" t="n">
        <f aca="false">J33-I33</f>
        <v>0</v>
      </c>
      <c r="L33" s="132" t="s">
        <v>198</v>
      </c>
      <c r="M33" s="134" t="s">
        <v>211</v>
      </c>
      <c r="N33" s="0" t="str">
        <f aca="false">SUBSTITUTE(A33," ","")</f>
        <v>포장비</v>
      </c>
      <c r="O33" s="0" t="str">
        <f aca="false">N33&amp;"|"&amp;COUNTIF($N$7:N33,N33)</f>
        <v>포장비|1</v>
      </c>
      <c r="P33" s="111" t="str">
        <f aca="false">IF($A33="","",IF(ISNUMBER(MATCH($O33,기간별손익계산서!$Q:$Q,0)),"✓ 일치","⚠ 확인필요"))</f>
        <v>⚠ 확인필요</v>
      </c>
      <c r="Q33" s="112" t="str">
        <f aca="false">IFERROR(IF(I33=0,"",(J33-I33)/ABS(I33)),"")</f>
        <v/>
      </c>
    </row>
    <row r="34" customFormat="false" ht="22.5" hidden="false" customHeight="true" outlineLevel="0" collapsed="false">
      <c r="A34" s="127" t="s">
        <v>163</v>
      </c>
      <c r="B34" s="130" t="n">
        <f aca="false">IFERROR(INDEX(기간별손익계산서!$B:$B,MATCH($O34,기간별손익계산서!$Q:$Q,0)),0)</f>
        <v>9730741</v>
      </c>
      <c r="C34" s="130" t="n">
        <f aca="false">IFERROR(INDEX(기간별손익계산서!$C:$N,MATCH($O34,기간별손익계산서!$Q:$Q,0),1),0)</f>
        <v>1736949</v>
      </c>
      <c r="D34" s="130" t="n">
        <f aca="false">IFERROR(INDEX(기간별손익계산서!$C:$N,MATCH($O34,기간별손익계산서!$Q:$Q,0),2),0)</f>
        <v>1107237</v>
      </c>
      <c r="E34" s="130" t="n">
        <f aca="false">IFERROR(INDEX(기간별손익계산서!$C:$N,MATCH($O34,기간별손익계산서!$Q:$Q,0),3),0)</f>
        <v>1257367</v>
      </c>
      <c r="F34" s="130" t="n">
        <f aca="false">IFERROR(INDEX(기간별손익계산서!$C:$N,MATCH($O34,기간별손익계산서!$Q:$Q,0),4),0)</f>
        <v>1552520</v>
      </c>
      <c r="G34" s="130" t="n">
        <f aca="false">IFERROR(INDEX(기간별손익계산서!$C:$N,MATCH($O34,기간별손익계산서!$Q:$Q,0),5),0)</f>
        <v>3575582</v>
      </c>
      <c r="H34" s="130" t="n">
        <f aca="false">IFERROR(INDEX(기간별손익계산서!$C:$N,MATCH($O34,기간별손익계산서!$Q:$Q,0),6),0)</f>
        <v>501086</v>
      </c>
      <c r="I34" s="113" t="n">
        <f aca="false">IFERROR(INDEX(기간별손익계산서!$C:$N,MATCH($O34,기간별손익계산서!$Q:$Q,0),MONTH(EOMONTH(인덱스!$K$1,-1))),0)</f>
        <v>3575582</v>
      </c>
      <c r="J34" s="113" t="n">
        <f aca="false">IFERROR(INDEX(기간별손익계산서!$C:$N,MATCH($O34,기간별손익계산서!$Q:$Q,0),MONTH(인덱스!$K$1)),0)</f>
        <v>501086</v>
      </c>
      <c r="K34" s="113" t="n">
        <f aca="false">J34-I34</f>
        <v>-3074496</v>
      </c>
      <c r="L34" s="132" t="str">
        <f aca="false">IF(J34-I34&gt;0,"증가","감소")</f>
        <v>감소</v>
      </c>
      <c r="M34" s="134" t="s">
        <v>212</v>
      </c>
      <c r="N34" s="0" t="str">
        <f aca="false">SUBSTITUTE(A34," ","")</f>
        <v>소모품비</v>
      </c>
      <c r="O34" s="0" t="str">
        <f aca="false">N34&amp;"|"&amp;COUNTIF($N$7:N34,N34)</f>
        <v>소모품비|1</v>
      </c>
      <c r="P34" s="111" t="str">
        <f aca="false">IF($A34="","",IF(ISNUMBER(MATCH($O34,기간별손익계산서!$Q:$Q,0)),"✓ 일치","⚠ 확인필요"))</f>
        <v>✓ 일치</v>
      </c>
      <c r="Q34" s="112" t="n">
        <f aca="false">IFERROR(IF(I34=0,"",(J34-I34)/ABS(I34)),"")</f>
        <v>-0.859858898495406</v>
      </c>
    </row>
    <row r="35" customFormat="false" ht="26.25" hidden="false" customHeight="true" outlineLevel="0" collapsed="false">
      <c r="A35" s="127" t="s">
        <v>164</v>
      </c>
      <c r="B35" s="130" t="n">
        <f aca="false">IFERROR(INDEX(기간별손익계산서!$B:$B,MATCH($O35,기간별손익계산서!$Q:$Q,0)),0)</f>
        <v>132687653</v>
      </c>
      <c r="C35" s="130" t="n">
        <f aca="false">IFERROR(INDEX(기간별손익계산서!$C:$N,MATCH($O35,기간별손익계산서!$Q:$Q,0),1),0)</f>
        <v>20134912</v>
      </c>
      <c r="D35" s="130" t="n">
        <f aca="false">IFERROR(INDEX(기간별손익계산서!$C:$N,MATCH($O35,기간별손익계산서!$Q:$Q,0),2),0)</f>
        <v>13780580</v>
      </c>
      <c r="E35" s="130" t="n">
        <f aca="false">IFERROR(INDEX(기간별손익계산서!$C:$N,MATCH($O35,기간별손익계산서!$Q:$Q,0),3),0)</f>
        <v>33354398</v>
      </c>
      <c r="F35" s="130" t="n">
        <f aca="false">IFERROR(INDEX(기간별손익계산서!$C:$N,MATCH($O35,기간별손익계산서!$Q:$Q,0),4),0)</f>
        <v>22212442</v>
      </c>
      <c r="G35" s="130" t="n">
        <f aca="false">IFERROR(INDEX(기간별손익계산서!$C:$N,MATCH($O35,기간별손익계산서!$Q:$Q,0),5),0)</f>
        <v>19010498</v>
      </c>
      <c r="H35" s="130" t="n">
        <f aca="false">IFERROR(INDEX(기간별손익계산서!$C:$N,MATCH($O35,기간별손익계산서!$Q:$Q,0),6),0)</f>
        <v>24194823</v>
      </c>
      <c r="I35" s="113" t="n">
        <f aca="false">IFERROR(INDEX(기간별손익계산서!$C:$N,MATCH($O35,기간별손익계산서!$Q:$Q,0),MONTH(EOMONTH(인덱스!$K$1,-1))),0)</f>
        <v>19010498</v>
      </c>
      <c r="J35" s="113" t="n">
        <f aca="false">IFERROR(INDEX(기간별손익계산서!$C:$N,MATCH($O35,기간별손익계산서!$Q:$Q,0),MONTH(인덱스!$K$1)),0)</f>
        <v>24194823</v>
      </c>
      <c r="K35" s="113" t="n">
        <f aca="false">J35-I35</f>
        <v>5184325</v>
      </c>
      <c r="L35" s="132" t="str">
        <f aca="false">IF(J35-I35&gt;0,"증가","감소")</f>
        <v>증가</v>
      </c>
      <c r="M35" s="133" t="s">
        <v>213</v>
      </c>
      <c r="N35" s="0" t="str">
        <f aca="false">SUBSTITUTE(A35," ","")</f>
        <v>지급수수료</v>
      </c>
      <c r="O35" s="0" t="str">
        <f aca="false">N35&amp;"|"&amp;COUNTIF($N$7:N35,N35)</f>
        <v>지급수수료|1</v>
      </c>
      <c r="P35" s="111" t="str">
        <f aca="false">IF($A35="","",IF(ISNUMBER(MATCH($O35,기간별손익계산서!$Q:$Q,0)),"✓ 일치","⚠ 확인필요"))</f>
        <v>✓ 일치</v>
      </c>
      <c r="Q35" s="112" t="n">
        <f aca="false">IFERROR(IF(I35=0,"",(J35-I35)/ABS(I35)),"")</f>
        <v>0.272708531885909</v>
      </c>
    </row>
    <row r="36" customFormat="false" ht="22.5" hidden="false" customHeight="true" outlineLevel="0" collapsed="false">
      <c r="A36" s="127" t="s">
        <v>165</v>
      </c>
      <c r="B36" s="130" t="n">
        <f aca="false">IFERROR(INDEX(기간별손익계산서!$B:$B,MATCH($O36,기간별손익계산서!$Q:$Q,0)),0)</f>
        <v>0</v>
      </c>
      <c r="C36" s="130" t="n">
        <f aca="false">IFERROR(INDEX(기간별손익계산서!$C:$N,MATCH($O36,기간별손익계산서!$Q:$Q,0),1),0)</f>
        <v>0</v>
      </c>
      <c r="D36" s="130" t="n">
        <f aca="false">IFERROR(INDEX(기간별손익계산서!$C:$N,MATCH($O36,기간별손익계산서!$Q:$Q,0),2),0)</f>
        <v>0</v>
      </c>
      <c r="E36" s="130" t="n">
        <f aca="false">IFERROR(INDEX(기간별손익계산서!$C:$N,MATCH($O36,기간별손익계산서!$Q:$Q,0),3),0)</f>
        <v>0</v>
      </c>
      <c r="F36" s="130" t="n">
        <f aca="false">IFERROR(INDEX(기간별손익계산서!$C:$N,MATCH($O36,기간별손익계산서!$Q:$Q,0),4),0)</f>
        <v>0</v>
      </c>
      <c r="G36" s="130" t="n">
        <f aca="false">IFERROR(INDEX(기간별손익계산서!$C:$N,MATCH($O36,기간별손익계산서!$Q:$Q,0),5),0)</f>
        <v>0</v>
      </c>
      <c r="H36" s="130" t="n">
        <f aca="false">IFERROR(INDEX(기간별손익계산서!$C:$N,MATCH($O36,기간별손익계산서!$Q:$Q,0),6),0)</f>
        <v>0</v>
      </c>
      <c r="I36" s="113" t="n">
        <f aca="false">IFERROR(INDEX(기간별손익계산서!$C:$N,MATCH($O36,기간별손익계산서!$Q:$Q,0),MONTH(EOMONTH(인덱스!$K$1,-1))),0)</f>
        <v>0</v>
      </c>
      <c r="J36" s="113" t="n">
        <f aca="false">IFERROR(INDEX(기간별손익계산서!$C:$N,MATCH($O36,기간별손익계산서!$Q:$Q,0),MONTH(인덱스!$K$1)),0)</f>
        <v>0</v>
      </c>
      <c r="K36" s="113" t="n">
        <f aca="false">J36-I36</f>
        <v>0</v>
      </c>
      <c r="L36" s="132" t="s">
        <v>198</v>
      </c>
      <c r="M36" s="134" t="s">
        <v>214</v>
      </c>
      <c r="N36" s="0" t="str">
        <f aca="false">SUBSTITUTE(A36," ","")</f>
        <v>대손상각비</v>
      </c>
      <c r="O36" s="0" t="str">
        <f aca="false">N36&amp;"|"&amp;COUNTIF($N$7:N36,N36)</f>
        <v>대손상각비|1</v>
      </c>
      <c r="P36" s="111" t="str">
        <f aca="false">IF($A36="","",IF(ISNUMBER(MATCH($O36,기간별손익계산서!$Q:$Q,0)),"✓ 일치","⚠ 확인필요"))</f>
        <v>⚠ 확인필요</v>
      </c>
      <c r="Q36" s="112" t="str">
        <f aca="false">IFERROR(IF(I36=0,"",(J36-I36)/ABS(I36)),"")</f>
        <v/>
      </c>
    </row>
    <row r="37" customFormat="false" ht="22.5" hidden="false" customHeight="true" outlineLevel="0" collapsed="false">
      <c r="A37" s="127" t="s">
        <v>166</v>
      </c>
      <c r="B37" s="130" t="n">
        <f aca="false">IFERROR(INDEX(기간별손익계산서!$B:$B,MATCH($O37,기간별손익계산서!$Q:$Q,0)),0)</f>
        <v>2647122</v>
      </c>
      <c r="C37" s="130" t="n">
        <f aca="false">IFERROR(INDEX(기간별손익계산서!$C:$N,MATCH($O37,기간별손익계산서!$Q:$Q,0),1),0)</f>
        <v>622432</v>
      </c>
      <c r="D37" s="130" t="n">
        <f aca="false">IFERROR(INDEX(기간별손익계산서!$C:$N,MATCH($O37,기간별손익계산서!$Q:$Q,0),2),0)</f>
        <v>0</v>
      </c>
      <c r="E37" s="130" t="n">
        <f aca="false">IFERROR(INDEX(기간별손익계산서!$C:$N,MATCH($O37,기간별손익계산서!$Q:$Q,0),3),0)</f>
        <v>1173227</v>
      </c>
      <c r="F37" s="130" t="n">
        <f aca="false">IFERROR(INDEX(기간별손익계산서!$C:$N,MATCH($O37,기간별손익계산서!$Q:$Q,0),4),0)</f>
        <v>107803</v>
      </c>
      <c r="G37" s="130" t="n">
        <f aca="false">IFERROR(INDEX(기간별손익계산서!$C:$N,MATCH($O37,기간별손익계산서!$Q:$Q,0),5),0)</f>
        <v>623505</v>
      </c>
      <c r="H37" s="130" t="n">
        <f aca="false">IFERROR(INDEX(기간별손익계산서!$C:$N,MATCH($O37,기간별손익계산서!$Q:$Q,0),6),0)</f>
        <v>120155</v>
      </c>
      <c r="I37" s="113" t="n">
        <f aca="false">IFERROR(INDEX(기간별손익계산서!$C:$N,MATCH($O37,기간별손익계산서!$Q:$Q,0),MONTH(EOMONTH(인덱스!$K$1,-1))),0)</f>
        <v>623505</v>
      </c>
      <c r="J37" s="113" t="n">
        <f aca="false">IFERROR(INDEX(기간별손익계산서!$C:$N,MATCH($O37,기간별손익계산서!$Q:$Q,0),MONTH(인덱스!$K$1)),0)</f>
        <v>120155</v>
      </c>
      <c r="K37" s="113" t="n">
        <f aca="false">J37-I37</f>
        <v>-503350</v>
      </c>
      <c r="L37" s="132" t="str">
        <f aca="false">IF(J37-I37&gt;0,"증가","감소")</f>
        <v>감소</v>
      </c>
      <c r="M37" s="134" t="s">
        <v>215</v>
      </c>
      <c r="N37" s="0" t="str">
        <f aca="false">SUBSTITUTE(A37," ","")</f>
        <v>수출제비용</v>
      </c>
      <c r="O37" s="0" t="str">
        <f aca="false">N37&amp;"|"&amp;COUNTIF($N$7:N37,N37)</f>
        <v>수출제비용|1</v>
      </c>
      <c r="P37" s="111" t="str">
        <f aca="false">IF($A37="","",IF(ISNUMBER(MATCH($O37,기간별손익계산서!$Q:$Q,0)),"✓ 일치","⚠ 확인필요"))</f>
        <v>✓ 일치</v>
      </c>
      <c r="Q37" s="112" t="n">
        <f aca="false">IFERROR(IF(I37=0,"",(J37-I37)/ABS(I37)),"")</f>
        <v>-0.807291040168082</v>
      </c>
    </row>
    <row r="38" customFormat="false" ht="24" hidden="false" customHeight="true" outlineLevel="0" collapsed="false">
      <c r="A38" s="91" t="s">
        <v>167</v>
      </c>
      <c r="B38" s="109" t="n">
        <f aca="false">IFERROR(INDEX(기간별손익계산서!$B:$B,MATCH($O38,기간별손익계산서!$Q:$Q,0)),0)</f>
        <v>1107221378</v>
      </c>
      <c r="C38" s="109" t="n">
        <f aca="false">IFERROR(INDEX(기간별손익계산서!$C:$N,MATCH($O38,기간별손익계산서!$Q:$Q,0),1),0)</f>
        <v>40741916</v>
      </c>
      <c r="D38" s="109" t="n">
        <f aca="false">IFERROR(INDEX(기간별손익계산서!$C:$N,MATCH($O38,기간별손익계산서!$Q:$Q,0),2),0)</f>
        <v>148649732</v>
      </c>
      <c r="E38" s="109" t="n">
        <f aca="false">IFERROR(INDEX(기간별손익계산서!$C:$N,MATCH($O38,기간별손익계산서!$Q:$Q,0),3),0)</f>
        <v>222735445</v>
      </c>
      <c r="F38" s="109" t="n">
        <f aca="false">IFERROR(INDEX(기간별손익계산서!$C:$N,MATCH($O38,기간별손익계산서!$Q:$Q,0),4),0)</f>
        <v>265599223</v>
      </c>
      <c r="G38" s="109" t="n">
        <f aca="false">IFERROR(INDEX(기간별손익계산서!$C:$N,MATCH($O38,기간별손익계산서!$Q:$Q,0),5),0)</f>
        <v>224446491</v>
      </c>
      <c r="H38" s="109" t="n">
        <f aca="false">IFERROR(INDEX(기간별손익계산서!$C:$N,MATCH($O38,기간별손익계산서!$Q:$Q,0),6),0)</f>
        <v>205048571</v>
      </c>
      <c r="I38" s="109" t="n">
        <f aca="false">IFERROR(INDEX(기간별손익계산서!$C:$N,MATCH($O38,기간별손익계산서!$Q:$Q,0),MONTH(EOMONTH(인덱스!$K$1,-1))),0)</f>
        <v>224446491</v>
      </c>
      <c r="J38" s="109" t="n">
        <f aca="false">IFERROR(INDEX(기간별손익계산서!$C:$N,MATCH($O38,기간별손익계산서!$Q:$Q,0),MONTH(인덱스!$K$1)),0)</f>
        <v>205048571</v>
      </c>
      <c r="K38" s="109" t="n">
        <f aca="false">J38-I38</f>
        <v>-19397920</v>
      </c>
      <c r="L38" s="125" t="str">
        <f aca="false">IF(J38-I38&gt;0,"증가","감소")</f>
        <v>감소</v>
      </c>
      <c r="M38" s="126"/>
      <c r="N38" s="0" t="str">
        <f aca="false">SUBSTITUTE(A38," ","")</f>
        <v>Ⅴ.영업이익</v>
      </c>
      <c r="O38" s="0" t="str">
        <f aca="false">N38&amp;"|"&amp;COUNTIF($N$7:N38,N38)</f>
        <v>Ⅴ.영업이익|1</v>
      </c>
      <c r="P38" s="111" t="str">
        <f aca="false">IF($A38="","",IF(ISNUMBER(MATCH($O38,기간별손익계산서!$Q:$Q,0)),"✓ 일치","⚠ 확인필요"))</f>
        <v>✓ 일치</v>
      </c>
      <c r="Q38" s="112" t="n">
        <f aca="false">IFERROR(IF(I38=0,"",(J38-I38)/ABS(I38)),"")</f>
        <v>-0.0864255881817284</v>
      </c>
    </row>
    <row r="39" customFormat="false" ht="22.5" hidden="false" customHeight="true" outlineLevel="0" collapsed="false">
      <c r="A39" s="91" t="s">
        <v>168</v>
      </c>
      <c r="B39" s="109" t="n">
        <f aca="false">IFERROR(INDEX(기간별손익계산서!$B:$B,MATCH($O39,기간별손익계산서!$Q:$Q,0)),0)</f>
        <v>69774121</v>
      </c>
      <c r="C39" s="109" t="n">
        <f aca="false">IFERROR(INDEX(기간별손익계산서!$C:$N,MATCH($O39,기간별손익계산서!$Q:$Q,0),1),0)</f>
        <v>183178</v>
      </c>
      <c r="D39" s="109" t="n">
        <f aca="false">IFERROR(INDEX(기간별손익계산서!$C:$N,MATCH($O39,기간별손익계산서!$Q:$Q,0),2),0)</f>
        <v>4067</v>
      </c>
      <c r="E39" s="109" t="n">
        <f aca="false">IFERROR(INDEX(기간별손익계산서!$C:$N,MATCH($O39,기간별손익계산서!$Q:$Q,0),3),0)</f>
        <v>7711604</v>
      </c>
      <c r="F39" s="109" t="n">
        <f aca="false">IFERROR(INDEX(기간별손익계산서!$C:$N,MATCH($O39,기간별손익계산서!$Q:$Q,0),4),0)</f>
        <v>48618404</v>
      </c>
      <c r="G39" s="109" t="n">
        <f aca="false">IFERROR(INDEX(기간별손익계산서!$C:$N,MATCH($O39,기간별손익계산서!$Q:$Q,0),5),0)</f>
        <v>4960592</v>
      </c>
      <c r="H39" s="109" t="n">
        <f aca="false">IFERROR(INDEX(기간별손익계산서!$C:$N,MATCH($O39,기간별손익계산서!$Q:$Q,0),6),0)</f>
        <v>8296276</v>
      </c>
      <c r="I39" s="109" t="n">
        <f aca="false">IFERROR(INDEX(기간별손익계산서!$C:$N,MATCH($O39,기간별손익계산서!$Q:$Q,0),MONTH(EOMONTH(인덱스!$K$1,-1))),0)</f>
        <v>4960592</v>
      </c>
      <c r="J39" s="109" t="n">
        <f aca="false">IFERROR(INDEX(기간별손익계산서!$C:$N,MATCH($O39,기간별손익계산서!$Q:$Q,0),MONTH(인덱스!$K$1)),0)</f>
        <v>8296276</v>
      </c>
      <c r="K39" s="109" t="n">
        <f aca="false">J39-I39</f>
        <v>3335684</v>
      </c>
      <c r="L39" s="125" t="str">
        <f aca="false">IF(J39-I39&gt;0,"증가","감소")</f>
        <v>증가</v>
      </c>
      <c r="M39" s="126"/>
      <c r="N39" s="0" t="str">
        <f aca="false">SUBSTITUTE(A39," ","")</f>
        <v>Ⅵ.영업외수익</v>
      </c>
      <c r="O39" s="0" t="str">
        <f aca="false">N39&amp;"|"&amp;COUNTIF($N$7:N39,N39)</f>
        <v>Ⅵ.영업외수익|1</v>
      </c>
      <c r="P39" s="111" t="str">
        <f aca="false">IF($A39="","",IF(ISNUMBER(MATCH($O39,기간별손익계산서!$Q:$Q,0)),"✓ 일치","⚠ 확인필요"))</f>
        <v>✓ 일치</v>
      </c>
      <c r="Q39" s="112" t="n">
        <f aca="false">IFERROR(IF(I39=0,"",(J39-I39)/ABS(I39)),"")</f>
        <v>0.672436676912756</v>
      </c>
    </row>
    <row r="40" customFormat="false" ht="22.5" hidden="false" customHeight="true" outlineLevel="0" collapsed="false">
      <c r="A40" s="84" t="s">
        <v>169</v>
      </c>
      <c r="B40" s="130" t="n">
        <f aca="false">IFERROR(INDEX(기간별손익계산서!$B:$B,MATCH($O40,기간별손익계산서!$Q:$Q,0)),0)</f>
        <v>66422365</v>
      </c>
      <c r="C40" s="130" t="n">
        <f aca="false">IFERROR(INDEX(기간별손익계산서!$C:$N,MATCH($O40,기간별손익계산서!$Q:$Q,0),1),0)</f>
        <v>3390</v>
      </c>
      <c r="D40" s="130" t="n">
        <f aca="false">IFERROR(INDEX(기간별손익계산서!$C:$N,MATCH($O40,기간별손익계산서!$Q:$Q,0),2),0)</f>
        <v>3275</v>
      </c>
      <c r="E40" s="130" t="n">
        <f aca="false">IFERROR(INDEX(기간별손익계산서!$C:$N,MATCH($O40,기간별손익계산서!$Q:$Q,0),3),0)</f>
        <v>7172802</v>
      </c>
      <c r="F40" s="130" t="n">
        <f aca="false">IFERROR(INDEX(기간별손익계산서!$C:$N,MATCH($O40,기간별손익계산서!$Q:$Q,0),4),0)</f>
        <v>47446400</v>
      </c>
      <c r="G40" s="130" t="n">
        <f aca="false">IFERROR(INDEX(기간별손익계산서!$C:$N,MATCH($O40,기간별손익계산서!$Q:$Q,0),5),0)</f>
        <v>3777023</v>
      </c>
      <c r="H40" s="130" t="n">
        <f aca="false">IFERROR(INDEX(기간별손익계산서!$C:$N,MATCH($O40,기간별손익계산서!$Q:$Q,0),6),0)</f>
        <v>8019475</v>
      </c>
      <c r="I40" s="113" t="n">
        <f aca="false">IFERROR(INDEX(기간별손익계산서!$C:$N,MATCH($O40,기간별손익계산서!$Q:$Q,0),MONTH(EOMONTH(인덱스!$K$1,-1))),0)</f>
        <v>3777023</v>
      </c>
      <c r="J40" s="113" t="n">
        <f aca="false">IFERROR(INDEX(기간별손익계산서!$C:$N,MATCH($O40,기간별손익계산서!$Q:$Q,0),MONTH(인덱스!$K$1)),0)</f>
        <v>8019475</v>
      </c>
      <c r="K40" s="113" t="n">
        <f aca="false">J40-I40</f>
        <v>4242452</v>
      </c>
      <c r="L40" s="132" t="str">
        <f aca="false">IF(J40-I40&gt;0,"증가","감소")</f>
        <v>증가</v>
      </c>
      <c r="M40" s="134" t="s">
        <v>216</v>
      </c>
      <c r="N40" s="0" t="str">
        <f aca="false">SUBSTITUTE(A40," ","")</f>
        <v>이자수익</v>
      </c>
      <c r="O40" s="0" t="str">
        <f aca="false">N40&amp;"|"&amp;COUNTIF($N$7:N40,N40)</f>
        <v>이자수익|1</v>
      </c>
      <c r="P40" s="111" t="str">
        <f aca="false">IF($A40="","",IF(ISNUMBER(MATCH($O40,기간별손익계산서!$Q:$Q,0)),"✓ 일치","⚠ 확인필요"))</f>
        <v>✓ 일치</v>
      </c>
      <c r="Q40" s="112" t="n">
        <f aca="false">IFERROR(IF(I40=0,"",(J40-I40)/ABS(I40)),"")</f>
        <v>1.12322641403031</v>
      </c>
    </row>
    <row r="41" customFormat="false" ht="22.5" hidden="false" customHeight="true" outlineLevel="0" collapsed="false">
      <c r="A41" s="84" t="s">
        <v>170</v>
      </c>
      <c r="B41" s="130" t="n">
        <f aca="false">IFERROR(INDEX(기간별손익계산서!$B:$B,MATCH($O41,기간별손익계산서!$Q:$Q,0)),0)</f>
        <v>0</v>
      </c>
      <c r="C41" s="130" t="n">
        <f aca="false">IFERROR(INDEX(기간별손익계산서!$C:$N,MATCH($O41,기간별손익계산서!$Q:$Q,0),1),0)</f>
        <v>0</v>
      </c>
      <c r="D41" s="130" t="n">
        <f aca="false">IFERROR(INDEX(기간별손익계산서!$C:$N,MATCH($O41,기간별손익계산서!$Q:$Q,0),2),0)</f>
        <v>0</v>
      </c>
      <c r="E41" s="130" t="n">
        <f aca="false">IFERROR(INDEX(기간별손익계산서!$C:$N,MATCH($O41,기간별손익계산서!$Q:$Q,0),3),0)</f>
        <v>0</v>
      </c>
      <c r="F41" s="130" t="n">
        <f aca="false">IFERROR(INDEX(기간별손익계산서!$C:$N,MATCH($O41,기간별손익계산서!$Q:$Q,0),4),0)</f>
        <v>0</v>
      </c>
      <c r="G41" s="130" t="n">
        <f aca="false">IFERROR(INDEX(기간별손익계산서!$C:$N,MATCH($O41,기간별손익계산서!$Q:$Q,0),5),0)</f>
        <v>0</v>
      </c>
      <c r="H41" s="130" t="n">
        <f aca="false">IFERROR(INDEX(기간별손익계산서!$C:$N,MATCH($O41,기간별손익계산서!$Q:$Q,0),6),0)</f>
        <v>0</v>
      </c>
      <c r="I41" s="113" t="n">
        <f aca="false">IFERROR(INDEX(기간별손익계산서!$C:$N,MATCH($O41,기간별손익계산서!$Q:$Q,0),MONTH(EOMONTH(인덱스!$K$1,-1))),0)</f>
        <v>0</v>
      </c>
      <c r="J41" s="113" t="n">
        <f aca="false">IFERROR(INDEX(기간별손익계산서!$C:$N,MATCH($O41,기간별손익계산서!$Q:$Q,0),MONTH(인덱스!$K$1)),0)</f>
        <v>0</v>
      </c>
      <c r="K41" s="113" t="n">
        <f aca="false">J41-I41</f>
        <v>0</v>
      </c>
      <c r="L41" s="132" t="s">
        <v>198</v>
      </c>
      <c r="M41" s="129"/>
      <c r="N41" s="0" t="str">
        <f aca="false">SUBSTITUTE(A41," ","")</f>
        <v>외환차익</v>
      </c>
      <c r="O41" s="0" t="str">
        <f aca="false">N41&amp;"|"&amp;COUNTIF($N$7:N41,N41)</f>
        <v>외환차익|1</v>
      </c>
      <c r="P41" s="111" t="str">
        <f aca="false">IF($A41="","",IF(ISNUMBER(MATCH($O41,기간별손익계산서!$Q:$Q,0)),"✓ 일치","⚠ 확인필요"))</f>
        <v>⚠ 확인필요</v>
      </c>
      <c r="Q41" s="112" t="str">
        <f aca="false">IFERROR(IF(I41=0,"",(J41-I41)/ABS(I41)),"")</f>
        <v/>
      </c>
    </row>
    <row r="42" customFormat="false" ht="22.5" hidden="false" customHeight="true" outlineLevel="0" collapsed="false">
      <c r="A42" s="84" t="s">
        <v>172</v>
      </c>
      <c r="B42" s="130" t="n">
        <f aca="false">IFERROR(INDEX(기간별손익계산서!$B:$B,MATCH($O42,기간별손익계산서!$Q:$Q,0)),0)</f>
        <v>726273</v>
      </c>
      <c r="C42" s="130" t="n">
        <f aca="false">IFERROR(INDEX(기간별손익계산서!$C:$N,MATCH($O42,기간별손익계산서!$Q:$Q,0),1),0)</f>
        <v>0</v>
      </c>
      <c r="D42" s="130" t="n">
        <f aca="false">IFERROR(INDEX(기간별손익계산서!$C:$N,MATCH($O42,기간별손익계산서!$Q:$Q,0),2),0)</f>
        <v>0</v>
      </c>
      <c r="E42" s="130" t="n">
        <f aca="false">IFERROR(INDEX(기간별손익계산서!$C:$N,MATCH($O42,기간별손익계산서!$Q:$Q,0),3),0)</f>
        <v>0</v>
      </c>
      <c r="F42" s="130" t="n">
        <f aca="false">IFERROR(INDEX(기간별손익계산서!$C:$N,MATCH($O42,기간별손익계산서!$Q:$Q,0),4),0)</f>
        <v>0</v>
      </c>
      <c r="G42" s="130" t="n">
        <f aca="false">IFERROR(INDEX(기간별손익계산서!$C:$N,MATCH($O42,기간별손익계산서!$Q:$Q,0),5),0)</f>
        <v>726273</v>
      </c>
      <c r="H42" s="130" t="n">
        <f aca="false">IFERROR(INDEX(기간별손익계산서!$C:$N,MATCH($O42,기간별손익계산서!$Q:$Q,0),6),0)</f>
        <v>0</v>
      </c>
      <c r="I42" s="113" t="n">
        <f aca="false">IFERROR(INDEX(기간별손익계산서!$C:$N,MATCH($O42,기간별손익계산서!$Q:$Q,0),MONTH(EOMONTH(인덱스!$K$1,-1))),0)</f>
        <v>726273</v>
      </c>
      <c r="J42" s="113" t="n">
        <f aca="false">IFERROR(INDEX(기간별손익계산서!$C:$N,MATCH($O42,기간별손익계산서!$Q:$Q,0),MONTH(인덱스!$K$1)),0)</f>
        <v>0</v>
      </c>
      <c r="K42" s="113" t="n">
        <f aca="false">J42-I42</f>
        <v>-726273</v>
      </c>
      <c r="L42" s="132" t="s">
        <v>198</v>
      </c>
      <c r="M42" s="129"/>
      <c r="N42" s="0" t="str">
        <f aca="false">SUBSTITUTE(A42," ","")</f>
        <v>유형자산처분이익</v>
      </c>
      <c r="O42" s="0" t="str">
        <f aca="false">N42&amp;"|"&amp;COUNTIF($N$7:N42,N42)</f>
        <v>유형자산처분이익|1</v>
      </c>
      <c r="P42" s="111" t="str">
        <f aca="false">IF($A42="","",IF(ISNUMBER(MATCH($O42,기간별손익계산서!$Q:$Q,0)),"✓ 일치","⚠ 확인필요"))</f>
        <v>✓ 일치</v>
      </c>
      <c r="Q42" s="112" t="n">
        <f aca="false">IFERROR(IF(I42=0,"",(J42-I42)/ABS(I42)),"")</f>
        <v>-1</v>
      </c>
    </row>
    <row r="43" customFormat="false" ht="22.5" hidden="false" customHeight="true" outlineLevel="0" collapsed="false">
      <c r="A43" s="84" t="s">
        <v>173</v>
      </c>
      <c r="B43" s="130" t="n">
        <f aca="false">IFERROR(INDEX(기간별손익계산서!$B:$B,MATCH($O43,기간별손익계산서!$Q:$Q,0)),0)</f>
        <v>0</v>
      </c>
      <c r="C43" s="130" t="n">
        <f aca="false">IFERROR(INDEX(기간별손익계산서!$C:$N,MATCH($O43,기간별손익계산서!$Q:$Q,0),1),0)</f>
        <v>0</v>
      </c>
      <c r="D43" s="130" t="n">
        <f aca="false">IFERROR(INDEX(기간별손익계산서!$C:$N,MATCH($O43,기간별손익계산서!$Q:$Q,0),2),0)</f>
        <v>0</v>
      </c>
      <c r="E43" s="130" t="n">
        <f aca="false">IFERROR(INDEX(기간별손익계산서!$C:$N,MATCH($O43,기간별손익계산서!$Q:$Q,0),3),0)</f>
        <v>0</v>
      </c>
      <c r="F43" s="130" t="n">
        <f aca="false">IFERROR(INDEX(기간별손익계산서!$C:$N,MATCH($O43,기간별손익계산서!$Q:$Q,0),4),0)</f>
        <v>0</v>
      </c>
      <c r="G43" s="130" t="n">
        <f aca="false">IFERROR(INDEX(기간별손익계산서!$C:$N,MATCH($O43,기간별손익계산서!$Q:$Q,0),5),0)</f>
        <v>0</v>
      </c>
      <c r="H43" s="130" t="n">
        <f aca="false">IFERROR(INDEX(기간별손익계산서!$C:$N,MATCH($O43,기간별손익계산서!$Q:$Q,0),6),0)</f>
        <v>0</v>
      </c>
      <c r="I43" s="113" t="n">
        <f aca="false">IFERROR(INDEX(기간별손익계산서!$C:$N,MATCH($O43,기간별손익계산서!$Q:$Q,0),MONTH(EOMONTH(인덱스!$K$1,-1))),0)</f>
        <v>0</v>
      </c>
      <c r="J43" s="113" t="n">
        <f aca="false">IFERROR(INDEX(기간별손익계산서!$C:$N,MATCH($O43,기간별손익계산서!$Q:$Q,0),MONTH(인덱스!$K$1)),0)</f>
        <v>0</v>
      </c>
      <c r="K43" s="113" t="n">
        <f aca="false">J43-I43</f>
        <v>0</v>
      </c>
      <c r="L43" s="132" t="s">
        <v>198</v>
      </c>
      <c r="M43" s="129"/>
      <c r="N43" s="0" t="str">
        <f aca="false">SUBSTITUTE(A43," ","")</f>
        <v>투자자산처분이익</v>
      </c>
      <c r="O43" s="0" t="str">
        <f aca="false">N43&amp;"|"&amp;COUNTIF($N$7:N43,N43)</f>
        <v>투자자산처분이익|1</v>
      </c>
      <c r="P43" s="111" t="str">
        <f aca="false">IF($A43="","",IF(ISNUMBER(MATCH($O43,기간별손익계산서!$Q:$Q,0)),"✓ 일치","⚠ 확인필요"))</f>
        <v>⚠ 확인필요</v>
      </c>
      <c r="Q43" s="112" t="str">
        <f aca="false">IFERROR(IF(I43=0,"",(J43-I43)/ABS(I43)),"")</f>
        <v/>
      </c>
    </row>
    <row r="44" customFormat="false" ht="22.5" hidden="false" customHeight="true" outlineLevel="0" collapsed="false">
      <c r="A44" s="84" t="s">
        <v>175</v>
      </c>
      <c r="B44" s="130" t="n">
        <f aca="false">IFERROR(INDEX(기간별손익계산서!$B:$B,MATCH($O44,기간별손익계산서!$Q:$Q,0)),0)</f>
        <v>2625483</v>
      </c>
      <c r="C44" s="130" t="n">
        <f aca="false">IFERROR(INDEX(기간별손익계산서!$C:$N,MATCH($O44,기간별손익계산서!$Q:$Q,0),1),0)</f>
        <v>179788</v>
      </c>
      <c r="D44" s="130" t="n">
        <f aca="false">IFERROR(INDEX(기간별손익계산서!$C:$N,MATCH($O44,기간별손익계산서!$Q:$Q,0),2),0)</f>
        <v>792</v>
      </c>
      <c r="E44" s="130" t="n">
        <f aca="false">IFERROR(INDEX(기간별손익계산서!$C:$N,MATCH($O44,기간별손익계산서!$Q:$Q,0),3),0)</f>
        <v>538802</v>
      </c>
      <c r="F44" s="130" t="n">
        <f aca="false">IFERROR(INDEX(기간별손익계산서!$C:$N,MATCH($O44,기간별손익계산서!$Q:$Q,0),4),0)</f>
        <v>1172004</v>
      </c>
      <c r="G44" s="130" t="n">
        <f aca="false">IFERROR(INDEX(기간별손익계산서!$C:$N,MATCH($O44,기간별손익계산서!$Q:$Q,0),5),0)</f>
        <v>457296</v>
      </c>
      <c r="H44" s="130" t="n">
        <f aca="false">IFERROR(INDEX(기간별손익계산서!$C:$N,MATCH($O44,기간별손익계산서!$Q:$Q,0),6),0)</f>
        <v>276801</v>
      </c>
      <c r="I44" s="113" t="n">
        <f aca="false">IFERROR(INDEX(기간별손익계산서!$C:$N,MATCH($O44,기간별손익계산서!$Q:$Q,0),MONTH(EOMONTH(인덱스!$K$1,-1))),0)</f>
        <v>457296</v>
      </c>
      <c r="J44" s="113" t="n">
        <f aca="false">IFERROR(INDEX(기간별손익계산서!$C:$N,MATCH($O44,기간별손익계산서!$Q:$Q,0),MONTH(인덱스!$K$1)),0)</f>
        <v>276801</v>
      </c>
      <c r="K44" s="113" t="n">
        <f aca="false">J44-I44</f>
        <v>-180495</v>
      </c>
      <c r="L44" s="132" t="str">
        <f aca="false">IF(J44-I44&gt;0,"증가","감소")</f>
        <v>감소</v>
      </c>
      <c r="M44" s="135" t="s">
        <v>217</v>
      </c>
      <c r="N44" s="0" t="str">
        <f aca="false">SUBSTITUTE(A44," ","")</f>
        <v>잡이익</v>
      </c>
      <c r="O44" s="0" t="str">
        <f aca="false">N44&amp;"|"&amp;COUNTIF($N$7:N44,N44)</f>
        <v>잡이익|1</v>
      </c>
      <c r="P44" s="111" t="str">
        <f aca="false">IF($A44="","",IF(ISNUMBER(MATCH($O44,기간별손익계산서!$Q:$Q,0)),"✓ 일치","⚠ 확인필요"))</f>
        <v>✓ 일치</v>
      </c>
      <c r="Q44" s="112" t="n">
        <f aca="false">IFERROR(IF(I44=0,"",(J44-I44)/ABS(I44)),"")</f>
        <v>-0.394700587803086</v>
      </c>
    </row>
    <row r="45" customFormat="false" ht="22.5" hidden="false" customHeight="true" outlineLevel="0" collapsed="false">
      <c r="A45" s="91" t="s">
        <v>176</v>
      </c>
      <c r="B45" s="131" t="n">
        <f aca="false">IFERROR(INDEX(기간별손익계산서!$B:$B,MATCH($O45,기간별손익계산서!$Q:$Q,0)),0)</f>
        <v>32848988</v>
      </c>
      <c r="C45" s="131" t="n">
        <f aca="false">IFERROR(INDEX(기간별손익계산서!$C:$N,MATCH($O45,기간별손익계산서!$Q:$Q,0),1),0)</f>
        <v>2266</v>
      </c>
      <c r="D45" s="131" t="n">
        <f aca="false">IFERROR(INDEX(기간별손익계산서!$C:$N,MATCH($O45,기간별손익계산서!$Q:$Q,0),2),0)</f>
        <v>70000</v>
      </c>
      <c r="E45" s="131" t="n">
        <f aca="false">IFERROR(INDEX(기간별손익계산서!$C:$N,MATCH($O45,기간별손익계산서!$Q:$Q,0),3),0)</f>
        <v>115888</v>
      </c>
      <c r="F45" s="131" t="n">
        <f aca="false">IFERROR(INDEX(기간별손익계산서!$C:$N,MATCH($O45,기간별손익계산서!$Q:$Q,0),4),0)</f>
        <v>32628834</v>
      </c>
      <c r="G45" s="131" t="n">
        <f aca="false">IFERROR(INDEX(기간별손익계산서!$C:$N,MATCH($O45,기간별손익계산서!$Q:$Q,0),5),0)</f>
        <v>32000</v>
      </c>
      <c r="H45" s="131" t="n">
        <f aca="false">IFERROR(INDEX(기간별손익계산서!$C:$N,MATCH($O45,기간별손익계산서!$Q:$Q,0),6),0)</f>
        <v>0</v>
      </c>
      <c r="I45" s="109" t="n">
        <f aca="false">IFERROR(INDEX(기간별손익계산서!$C:$N,MATCH($O45,기간별손익계산서!$Q:$Q,0),MONTH(EOMONTH(인덱스!$K$1,-1))),0)</f>
        <v>32000</v>
      </c>
      <c r="J45" s="109" t="n">
        <f aca="false">IFERROR(INDEX(기간별손익계산서!$C:$N,MATCH($O45,기간별손익계산서!$Q:$Q,0),MONTH(인덱스!$K$1)),0)</f>
        <v>0</v>
      </c>
      <c r="K45" s="109" t="n">
        <f aca="false">J45-I45</f>
        <v>-32000</v>
      </c>
      <c r="L45" s="125" t="str">
        <f aca="false">IF(J45-I45&gt;0,"증가","감소")</f>
        <v>감소</v>
      </c>
      <c r="M45" s="126"/>
      <c r="N45" s="0" t="str">
        <f aca="false">SUBSTITUTE(A45," ","")</f>
        <v>Ⅶ.영업외비용</v>
      </c>
      <c r="O45" s="0" t="str">
        <f aca="false">N45&amp;"|"&amp;COUNTIF($N$7:N45,N45)</f>
        <v>Ⅶ.영업외비용|1</v>
      </c>
      <c r="P45" s="111" t="str">
        <f aca="false">IF($A45="","",IF(ISNUMBER(MATCH($O45,기간별손익계산서!$Q:$Q,0)),"✓ 일치","⚠ 확인필요"))</f>
        <v>✓ 일치</v>
      </c>
      <c r="Q45" s="112" t="n">
        <f aca="false">IFERROR(IF(I45=0,"",(J45-I45)/ABS(I45)),"")</f>
        <v>-1</v>
      </c>
    </row>
    <row r="46" customFormat="false" ht="22.5" hidden="false" customHeight="true" outlineLevel="0" collapsed="false">
      <c r="A46" s="84" t="s">
        <v>177</v>
      </c>
      <c r="B46" s="130" t="n">
        <f aca="false">IFERROR(INDEX(기간별손익계산서!$B:$B,MATCH($O46,기간별손익계산서!$Q:$Q,0)),0)</f>
        <v>0</v>
      </c>
      <c r="C46" s="130" t="n">
        <f aca="false">IFERROR(INDEX(기간별손익계산서!$C:$N,MATCH($O46,기간별손익계산서!$Q:$Q,0),1),0)</f>
        <v>0</v>
      </c>
      <c r="D46" s="130" t="n">
        <f aca="false">IFERROR(INDEX(기간별손익계산서!$C:$N,MATCH($O46,기간별손익계산서!$Q:$Q,0),2),0)</f>
        <v>0</v>
      </c>
      <c r="E46" s="130" t="n">
        <f aca="false">IFERROR(INDEX(기간별손익계산서!$C:$N,MATCH($O46,기간별손익계산서!$Q:$Q,0),3),0)</f>
        <v>0</v>
      </c>
      <c r="F46" s="130" t="n">
        <f aca="false">IFERROR(INDEX(기간별손익계산서!$C:$N,MATCH($O46,기간별손익계산서!$Q:$Q,0),4),0)</f>
        <v>0</v>
      </c>
      <c r="G46" s="130" t="n">
        <f aca="false">IFERROR(INDEX(기간별손익계산서!$C:$N,MATCH($O46,기간별손익계산서!$Q:$Q,0),5),0)</f>
        <v>0</v>
      </c>
      <c r="H46" s="130" t="n">
        <f aca="false">IFERROR(INDEX(기간별손익계산서!$C:$N,MATCH($O46,기간별손익계산서!$Q:$Q,0),6),0)</f>
        <v>0</v>
      </c>
      <c r="I46" s="113" t="n">
        <f aca="false">IFERROR(INDEX(기간별손익계산서!$C:$N,MATCH($O46,기간별손익계산서!$Q:$Q,0),MONTH(EOMONTH(인덱스!$K$1,-1))),0)</f>
        <v>0</v>
      </c>
      <c r="J46" s="113" t="n">
        <f aca="false">IFERROR(INDEX(기간별손익계산서!$C:$N,MATCH($O46,기간별손익계산서!$Q:$Q,0),MONTH(인덱스!$K$1)),0)</f>
        <v>0</v>
      </c>
      <c r="K46" s="113" t="n">
        <f aca="false">J46-I46</f>
        <v>0</v>
      </c>
      <c r="L46" s="132" t="s">
        <v>198</v>
      </c>
      <c r="M46" s="129"/>
      <c r="N46" s="0" t="str">
        <f aca="false">SUBSTITUTE(A46," ","")</f>
        <v>이자비용</v>
      </c>
      <c r="O46" s="0" t="str">
        <f aca="false">N46&amp;"|"&amp;COUNTIF($N$7:N46,N46)</f>
        <v>이자비용|1</v>
      </c>
      <c r="P46" s="111" t="str">
        <f aca="false">IF($A46="","",IF(ISNUMBER(MATCH($O46,기간별손익계산서!$Q:$Q,0)),"✓ 일치","⚠ 확인필요"))</f>
        <v>⚠ 확인필요</v>
      </c>
      <c r="Q46" s="112" t="str">
        <f aca="false">IFERROR(IF(I46=0,"",(J46-I46)/ABS(I46)),"")</f>
        <v/>
      </c>
    </row>
    <row r="47" customFormat="false" ht="22.5" hidden="false" customHeight="true" outlineLevel="0" collapsed="false">
      <c r="A47" s="84" t="s">
        <v>178</v>
      </c>
      <c r="B47" s="130" t="n">
        <f aca="false">IFERROR(INDEX(기간별손익계산서!$B:$B,MATCH($O47,기간별손익계산서!$Q:$Q,0)),0)</f>
        <v>1277008</v>
      </c>
      <c r="C47" s="130" t="n">
        <f aca="false">IFERROR(INDEX(기간별손익계산서!$C:$N,MATCH($O47,기간별손익계산서!$Q:$Q,0),1),0)</f>
        <v>2266</v>
      </c>
      <c r="D47" s="130" t="n">
        <f aca="false">IFERROR(INDEX(기간별손익계산서!$C:$N,MATCH($O47,기간별손익계산서!$Q:$Q,0),2),0)</f>
        <v>0</v>
      </c>
      <c r="E47" s="130" t="n">
        <f aca="false">IFERROR(INDEX(기간별손익계산서!$C:$N,MATCH($O47,기간별손익계산서!$Q:$Q,0),3),0)</f>
        <v>3888</v>
      </c>
      <c r="F47" s="130" t="n">
        <f aca="false">IFERROR(INDEX(기간별손익계산서!$C:$N,MATCH($O47,기간별손익계산서!$Q:$Q,0),4),0)</f>
        <v>1270854</v>
      </c>
      <c r="G47" s="130" t="n">
        <f aca="false">IFERROR(INDEX(기간별손익계산서!$C:$N,MATCH($O47,기간별손익계산서!$Q:$Q,0),5),0)</f>
        <v>0</v>
      </c>
      <c r="H47" s="130" t="n">
        <f aca="false">IFERROR(INDEX(기간별손익계산서!$C:$N,MATCH($O47,기간별손익계산서!$Q:$Q,0),6),0)</f>
        <v>0</v>
      </c>
      <c r="I47" s="113" t="n">
        <f aca="false">IFERROR(INDEX(기간별손익계산서!$C:$N,MATCH($O47,기간별손익계산서!$Q:$Q,0),MONTH(EOMONTH(인덱스!$K$1,-1))),0)</f>
        <v>0</v>
      </c>
      <c r="J47" s="113" t="n">
        <f aca="false">IFERROR(INDEX(기간별손익계산서!$C:$N,MATCH($O47,기간별손익계산서!$Q:$Q,0),MONTH(인덱스!$K$1)),0)</f>
        <v>0</v>
      </c>
      <c r="K47" s="113" t="n">
        <f aca="false">J47-I47</f>
        <v>0</v>
      </c>
      <c r="L47" s="132" t="s">
        <v>198</v>
      </c>
      <c r="M47" s="129"/>
      <c r="N47" s="0" t="str">
        <f aca="false">SUBSTITUTE(A47," ","")</f>
        <v>외환차손</v>
      </c>
      <c r="O47" s="0" t="str">
        <f aca="false">N47&amp;"|"&amp;COUNTIF($N$7:N47,N47)</f>
        <v>외환차손|1</v>
      </c>
      <c r="P47" s="111" t="str">
        <f aca="false">IF($A47="","",IF(ISNUMBER(MATCH($O47,기간별손익계산서!$Q:$Q,0)),"✓ 일치","⚠ 확인필요"))</f>
        <v>✓ 일치</v>
      </c>
      <c r="Q47" s="112" t="str">
        <f aca="false">IFERROR(IF(I47=0,"",(J47-I47)/ABS(I47)),"")</f>
        <v/>
      </c>
    </row>
    <row r="48" customFormat="false" ht="22.5" hidden="false" customHeight="true" outlineLevel="0" collapsed="false">
      <c r="A48" s="84" t="s">
        <v>181</v>
      </c>
      <c r="B48" s="130" t="n">
        <f aca="false">IFERROR(INDEX(기간별손익계산서!$B:$B,MATCH($O48,기간별손익계산서!$Q:$Q,0)),0)</f>
        <v>0</v>
      </c>
      <c r="C48" s="130" t="n">
        <f aca="false">IFERROR(INDEX(기간별손익계산서!$C:$N,MATCH($O48,기간별손익계산서!$Q:$Q,0),1),0)</f>
        <v>0</v>
      </c>
      <c r="D48" s="130" t="n">
        <f aca="false">IFERROR(INDEX(기간별손익계산서!$C:$N,MATCH($O48,기간별손익계산서!$Q:$Q,0),2),0)</f>
        <v>0</v>
      </c>
      <c r="E48" s="130" t="n">
        <f aca="false">IFERROR(INDEX(기간별손익계산서!$C:$N,MATCH($O48,기간별손익계산서!$Q:$Q,0),3),0)</f>
        <v>0</v>
      </c>
      <c r="F48" s="130" t="n">
        <f aca="false">IFERROR(INDEX(기간별손익계산서!$C:$N,MATCH($O48,기간별손익계산서!$Q:$Q,0),4),0)</f>
        <v>0</v>
      </c>
      <c r="G48" s="130" t="n">
        <f aca="false">IFERROR(INDEX(기간별손익계산서!$C:$N,MATCH($O48,기간별손익계산서!$Q:$Q,0),5),0)</f>
        <v>0</v>
      </c>
      <c r="H48" s="130" t="n">
        <f aca="false">IFERROR(INDEX(기간별손익계산서!$C:$N,MATCH($O48,기간별손익계산서!$Q:$Q,0),6),0)</f>
        <v>0</v>
      </c>
      <c r="I48" s="113" t="n">
        <f aca="false">IFERROR(INDEX(기간별손익계산서!$C:$N,MATCH($O48,기간별손익계산서!$Q:$Q,0),MONTH(EOMONTH(인덱스!$K$1,-1))),0)</f>
        <v>0</v>
      </c>
      <c r="J48" s="113" t="n">
        <f aca="false">IFERROR(INDEX(기간별손익계산서!$C:$N,MATCH($O48,기간별손익계산서!$Q:$Q,0),MONTH(인덱스!$K$1)),0)</f>
        <v>0</v>
      </c>
      <c r="K48" s="113" t="n">
        <f aca="false">J48-I48</f>
        <v>0</v>
      </c>
      <c r="L48" s="132" t="s">
        <v>198</v>
      </c>
      <c r="M48" s="129"/>
      <c r="N48" s="0" t="str">
        <f aca="false">SUBSTITUTE(A48," ","")</f>
        <v>유형자산처분손실</v>
      </c>
      <c r="O48" s="0" t="str">
        <f aca="false">N48&amp;"|"&amp;COUNTIF($N$7:N48,N48)</f>
        <v>유형자산처분손실|1</v>
      </c>
      <c r="P48" s="111" t="str">
        <f aca="false">IF($A48="","",IF(ISNUMBER(MATCH($O48,기간별손익계산서!$Q:$Q,0)),"✓ 일치","⚠ 확인필요"))</f>
        <v>⚠ 확인필요</v>
      </c>
      <c r="Q48" s="112" t="str">
        <f aca="false">IFERROR(IF(I48=0,"",(J48-I48)/ABS(I48)),"")</f>
        <v/>
      </c>
    </row>
    <row r="49" customFormat="false" ht="22.5" hidden="false" customHeight="true" outlineLevel="0" collapsed="false">
      <c r="A49" s="84" t="s">
        <v>182</v>
      </c>
      <c r="B49" s="130" t="n">
        <f aca="false">IFERROR(INDEX(기간별손익계산서!$B:$B,MATCH($O49,기간별손익계산서!$Q:$Q,0)),0)</f>
        <v>214000</v>
      </c>
      <c r="C49" s="130" t="n">
        <f aca="false">IFERROR(INDEX(기간별손익계산서!$C:$N,MATCH($O49,기간별손익계산서!$Q:$Q,0),1),0)</f>
        <v>0</v>
      </c>
      <c r="D49" s="130" t="n">
        <f aca="false">IFERROR(INDEX(기간별손익계산서!$C:$N,MATCH($O49,기간별손익계산서!$Q:$Q,0),2),0)</f>
        <v>70000</v>
      </c>
      <c r="E49" s="130" t="n">
        <f aca="false">IFERROR(INDEX(기간별손익계산서!$C:$N,MATCH($O49,기간별손익계산서!$Q:$Q,0),3),0)</f>
        <v>112000</v>
      </c>
      <c r="F49" s="130" t="n">
        <f aca="false">IFERROR(INDEX(기간별손익계산서!$C:$N,MATCH($O49,기간별손익계산서!$Q:$Q,0),4),0)</f>
        <v>0</v>
      </c>
      <c r="G49" s="130" t="n">
        <f aca="false">IFERROR(INDEX(기간별손익계산서!$C:$N,MATCH($O49,기간별손익계산서!$Q:$Q,0),5),0)</f>
        <v>32000</v>
      </c>
      <c r="H49" s="130" t="n">
        <f aca="false">IFERROR(INDEX(기간별손익계산서!$C:$N,MATCH($O49,기간별손익계산서!$Q:$Q,0),6),0)</f>
        <v>0</v>
      </c>
      <c r="I49" s="113" t="n">
        <f aca="false">IFERROR(INDEX(기간별손익계산서!$C:$N,MATCH($O49,기간별손익계산서!$Q:$Q,0),MONTH(EOMONTH(인덱스!$K$1,-1))),0)</f>
        <v>32000</v>
      </c>
      <c r="J49" s="113" t="n">
        <f aca="false">IFERROR(INDEX(기간별손익계산서!$C:$N,MATCH($O49,기간별손익계산서!$Q:$Q,0),MONTH(인덱스!$K$1)),0)</f>
        <v>0</v>
      </c>
      <c r="K49" s="113" t="n">
        <f aca="false">J49-I49</f>
        <v>-32000</v>
      </c>
      <c r="L49" s="132" t="str">
        <f aca="false">IF(J49-I49&gt;0,"증가","감소")</f>
        <v>감소</v>
      </c>
      <c r="M49" s="129"/>
      <c r="N49" s="0" t="str">
        <f aca="false">SUBSTITUTE(A49," ","")</f>
        <v>잡손실</v>
      </c>
      <c r="O49" s="0" t="str">
        <f aca="false">N49&amp;"|"&amp;COUNTIF($N$7:N49,N49)</f>
        <v>잡손실|1</v>
      </c>
      <c r="P49" s="111" t="str">
        <f aca="false">IF($A49="","",IF(ISNUMBER(MATCH($O49,기간별손익계산서!$Q:$Q,0)),"✓ 일치","⚠ 확인필요"))</f>
        <v>✓ 일치</v>
      </c>
      <c r="Q49" s="112" t="n">
        <f aca="false">IFERROR(IF(I49=0,"",(J49-I49)/ABS(I49)),"")</f>
        <v>-1</v>
      </c>
    </row>
    <row r="50" customFormat="false" ht="22.5" hidden="false" customHeight="true" outlineLevel="0" collapsed="false">
      <c r="A50" s="127" t="s">
        <v>183</v>
      </c>
      <c r="B50" s="130" t="n">
        <f aca="false">IFERROR(INDEX(기간별손익계산서!$B:$B,MATCH($O50,기간별손익계산서!$Q:$Q,0)),0)</f>
        <v>31357980</v>
      </c>
      <c r="C50" s="130" t="n">
        <f aca="false">IFERROR(INDEX(기간별손익계산서!$C:$N,MATCH($O50,기간별손익계산서!$Q:$Q,0),1),0)</f>
        <v>0</v>
      </c>
      <c r="D50" s="130" t="n">
        <f aca="false">IFERROR(INDEX(기간별손익계산서!$C:$N,MATCH($O50,기간별손익계산서!$Q:$Q,0),2),0)</f>
        <v>0</v>
      </c>
      <c r="E50" s="130" t="n">
        <f aca="false">IFERROR(INDEX(기간별손익계산서!$C:$N,MATCH($O50,기간별손익계산서!$Q:$Q,0),3),0)</f>
        <v>0</v>
      </c>
      <c r="F50" s="130" t="n">
        <f aca="false">IFERROR(INDEX(기간별손익계산서!$C:$N,MATCH($O50,기간별손익계산서!$Q:$Q,0),4),0)</f>
        <v>31357980</v>
      </c>
      <c r="G50" s="130" t="n">
        <f aca="false">IFERROR(INDEX(기간별손익계산서!$C:$N,MATCH($O50,기간별손익계산서!$Q:$Q,0),5),0)</f>
        <v>0</v>
      </c>
      <c r="H50" s="130" t="n">
        <f aca="false">IFERROR(INDEX(기간별손익계산서!$C:$N,MATCH($O50,기간별손익계산서!$Q:$Q,0),6),0)</f>
        <v>0</v>
      </c>
      <c r="I50" s="113" t="n">
        <f aca="false">IFERROR(INDEX(기간별손익계산서!$C:$N,MATCH($O50,기간별손익계산서!$Q:$Q,0),MONTH(EOMONTH(인덱스!$K$1,-1))),0)</f>
        <v>0</v>
      </c>
      <c r="J50" s="113" t="n">
        <f aca="false">IFERROR(INDEX(기간별손익계산서!$C:$N,MATCH($O50,기간별손익계산서!$Q:$Q,0),MONTH(인덱스!$K$1)),0)</f>
        <v>0</v>
      </c>
      <c r="K50" s="113" t="n">
        <f aca="false">J50-I50</f>
        <v>0</v>
      </c>
      <c r="L50" s="132" t="s">
        <v>198</v>
      </c>
      <c r="M50" s="129"/>
      <c r="N50" s="0" t="str">
        <f aca="false">SUBSTITUTE(A50," ","")</f>
        <v>법인세추납액</v>
      </c>
      <c r="O50" s="0" t="str">
        <f aca="false">N50&amp;"|"&amp;COUNTIF($N$7:N50,N50)</f>
        <v>법인세추납액|1</v>
      </c>
      <c r="P50" s="111" t="str">
        <f aca="false">IF($A50="","",IF(ISNUMBER(MATCH($O50,기간별손익계산서!$Q:$Q,0)),"✓ 일치","⚠ 확인필요"))</f>
        <v>✓ 일치</v>
      </c>
      <c r="Q50" s="112" t="str">
        <f aca="false">IFERROR(IF(I50=0,"",(J50-I50)/ABS(I50)),"")</f>
        <v/>
      </c>
    </row>
    <row r="51" customFormat="false" ht="24" hidden="false" customHeight="true" outlineLevel="0" collapsed="false">
      <c r="A51" s="91" t="s">
        <v>184</v>
      </c>
      <c r="B51" s="109" t="n">
        <f aca="false">IFERROR(INDEX(기간별손익계산서!$B:$B,MATCH($O51,기간별손익계산서!$Q:$Q,0)),0)</f>
        <v>1144146511</v>
      </c>
      <c r="C51" s="109" t="n">
        <f aca="false">IFERROR(INDEX(기간별손익계산서!$C:$N,MATCH($O51,기간별손익계산서!$Q:$Q,0),1),0)</f>
        <v>40922828</v>
      </c>
      <c r="D51" s="109" t="n">
        <f aca="false">IFERROR(INDEX(기간별손익계산서!$C:$N,MATCH($O51,기간별손익계산서!$Q:$Q,0),2),0)</f>
        <v>148583799</v>
      </c>
      <c r="E51" s="109" t="n">
        <f aca="false">IFERROR(INDEX(기간별손익계산서!$C:$N,MATCH($O51,기간별손익계산서!$Q:$Q,0),3),0)</f>
        <v>230331161</v>
      </c>
      <c r="F51" s="109" t="n">
        <f aca="false">IFERROR(INDEX(기간별손익계산서!$C:$N,MATCH($O51,기간별손익계산서!$Q:$Q,0),4),0)</f>
        <v>281588793</v>
      </c>
      <c r="G51" s="109" t="n">
        <f aca="false">IFERROR(INDEX(기간별손익계산서!$C:$N,MATCH($O51,기간별손익계산서!$Q:$Q,0),5),0)</f>
        <v>229375083</v>
      </c>
      <c r="H51" s="109" t="n">
        <f aca="false">IFERROR(INDEX(기간별손익계산서!$C:$N,MATCH($O51,기간별손익계산서!$Q:$Q,0),6),0)</f>
        <v>213344847</v>
      </c>
      <c r="I51" s="109" t="n">
        <f aca="false">IFERROR(INDEX(기간별손익계산서!$C:$N,MATCH($O51,기간별손익계산서!$Q:$Q,0),MONTH(EOMONTH(인덱스!$K$1,-1))),0)</f>
        <v>229375083</v>
      </c>
      <c r="J51" s="109" t="n">
        <f aca="false">IFERROR(INDEX(기간별손익계산서!$C:$N,MATCH($O51,기간별손익계산서!$Q:$Q,0),MONTH(인덱스!$K$1)),0)</f>
        <v>213344847</v>
      </c>
      <c r="K51" s="109" t="n">
        <f aca="false">J51-I51</f>
        <v>-16030236</v>
      </c>
      <c r="L51" s="125" t="str">
        <f aca="false">IF(J51-I51&gt;0,"증가","감소")</f>
        <v>감소</v>
      </c>
      <c r="M51" s="126"/>
      <c r="N51" s="0" t="str">
        <f aca="false">SUBSTITUTE(A51," ","")</f>
        <v>Ⅷ.법인세비용차감전순이익</v>
      </c>
      <c r="O51" s="0" t="str">
        <f aca="false">N51&amp;"|"&amp;COUNTIF($N$7:N51,N51)</f>
        <v>Ⅷ.법인세비용차감전순이익|1</v>
      </c>
      <c r="P51" s="111" t="str">
        <f aca="false">IF($A51="","",IF(ISNUMBER(MATCH($O51,기간별손익계산서!$Q:$Q,0)),"✓ 일치","⚠ 확인필요"))</f>
        <v>✓ 일치</v>
      </c>
      <c r="Q51" s="112" t="n">
        <f aca="false">IFERROR(IF(I51=0,"",(J51-I51)/ABS(I51)),"")</f>
        <v>-0.0698865621772876</v>
      </c>
    </row>
    <row r="52" customFormat="false" ht="22.5" hidden="false" customHeight="true" outlineLevel="0" collapsed="false">
      <c r="A52" s="91" t="s">
        <v>185</v>
      </c>
      <c r="B52" s="109" t="n">
        <f aca="false">IFERROR(INDEX(기간별손익계산서!$B:$B,MATCH($O52,기간별손익계산서!$Q:$Q,0)),0)</f>
        <v>0</v>
      </c>
      <c r="C52" s="109" t="n">
        <f aca="false">IFERROR(INDEX(기간별손익계산서!$C:$N,MATCH($O52,기간별손익계산서!$Q:$Q,0),1),0)</f>
        <v>0</v>
      </c>
      <c r="D52" s="109" t="n">
        <f aca="false">IFERROR(INDEX(기간별손익계산서!$C:$N,MATCH($O52,기간별손익계산서!$Q:$Q,0),2),0)</f>
        <v>0</v>
      </c>
      <c r="E52" s="109" t="n">
        <f aca="false">IFERROR(INDEX(기간별손익계산서!$C:$N,MATCH($O52,기간별손익계산서!$Q:$Q,0),3),0)</f>
        <v>0</v>
      </c>
      <c r="F52" s="109" t="n">
        <f aca="false">IFERROR(INDEX(기간별손익계산서!$C:$N,MATCH($O52,기간별손익계산서!$Q:$Q,0),4),0)</f>
        <v>0</v>
      </c>
      <c r="G52" s="109" t="n">
        <f aca="false">IFERROR(INDEX(기간별손익계산서!$C:$N,MATCH($O52,기간별손익계산서!$Q:$Q,0),5),0)</f>
        <v>0</v>
      </c>
      <c r="H52" s="109" t="n">
        <f aca="false">IFERROR(INDEX(기간별손익계산서!$C:$N,MATCH($O52,기간별손익계산서!$Q:$Q,0),6),0)</f>
        <v>0</v>
      </c>
      <c r="I52" s="109" t="n">
        <f aca="false">IFERROR(INDEX(기간별손익계산서!$C:$N,MATCH($O52,기간별손익계산서!$Q:$Q,0),MONTH(EOMONTH(인덱스!$K$1,-1))),0)</f>
        <v>0</v>
      </c>
      <c r="J52" s="109" t="n">
        <f aca="false">IFERROR(INDEX(기간별손익계산서!$C:$N,MATCH($O52,기간별손익계산서!$Q:$Q,0),MONTH(인덱스!$K$1)),0)</f>
        <v>0</v>
      </c>
      <c r="K52" s="109" t="n">
        <f aca="false">J52-I52</f>
        <v>0</v>
      </c>
      <c r="L52" s="125" t="s">
        <v>198</v>
      </c>
      <c r="M52" s="126"/>
      <c r="N52" s="0" t="str">
        <f aca="false">SUBSTITUTE(A52," ","")</f>
        <v>Ⅸ.법인세비용</v>
      </c>
      <c r="O52" s="0" t="str">
        <f aca="false">N52&amp;"|"&amp;COUNTIF($N$7:N52,N52)</f>
        <v>Ⅸ.법인세비용|1</v>
      </c>
      <c r="P52" s="111" t="str">
        <f aca="false">IF($A52="","",IF(ISNUMBER(MATCH($O52,기간별손익계산서!$Q:$Q,0)),"✓ 일치","⚠ 확인필요"))</f>
        <v>✓ 일치</v>
      </c>
      <c r="Q52" s="112" t="str">
        <f aca="false">IFERROR(IF(I52=0,"",(J52-I52)/ABS(I52)),"")</f>
        <v/>
      </c>
    </row>
    <row r="53" customFormat="false" ht="22.5" hidden="false" customHeight="true" outlineLevel="0" collapsed="false">
      <c r="A53" s="84" t="s">
        <v>186</v>
      </c>
      <c r="B53" s="130" t="n">
        <f aca="false">IFERROR(INDEX(기간별손익계산서!$B:$B,MATCH($O53,기간별손익계산서!$Q:$Q,0)),0)</f>
        <v>0</v>
      </c>
      <c r="C53" s="130" t="n">
        <f aca="false">IFERROR(INDEX(기간별손익계산서!$C:$N,MATCH($O53,기간별손익계산서!$Q:$Q,0),1),0)</f>
        <v>0</v>
      </c>
      <c r="D53" s="130" t="n">
        <f aca="false">IFERROR(INDEX(기간별손익계산서!$C:$N,MATCH($O53,기간별손익계산서!$Q:$Q,0),2),0)</f>
        <v>0</v>
      </c>
      <c r="E53" s="130" t="n">
        <f aca="false">IFERROR(INDEX(기간별손익계산서!$C:$N,MATCH($O53,기간별손익계산서!$Q:$Q,0),3),0)</f>
        <v>0</v>
      </c>
      <c r="F53" s="130" t="n">
        <f aca="false">IFERROR(INDEX(기간별손익계산서!$C:$N,MATCH($O53,기간별손익계산서!$Q:$Q,0),4),0)</f>
        <v>0</v>
      </c>
      <c r="G53" s="130" t="n">
        <f aca="false">IFERROR(INDEX(기간별손익계산서!$C:$N,MATCH($O53,기간별손익계산서!$Q:$Q,0),5),0)</f>
        <v>0</v>
      </c>
      <c r="H53" s="130" t="n">
        <f aca="false">IFERROR(INDEX(기간별손익계산서!$C:$N,MATCH($O53,기간별손익계산서!$Q:$Q,0),6),0)</f>
        <v>0</v>
      </c>
      <c r="I53" s="113" t="n">
        <f aca="false">IFERROR(INDEX(기간별손익계산서!$C:$N,MATCH($O53,기간별손익계산서!$Q:$Q,0),MONTH(EOMONTH(인덱스!$K$1,-1))),0)</f>
        <v>0</v>
      </c>
      <c r="J53" s="113" t="n">
        <f aca="false">IFERROR(INDEX(기간별손익계산서!$C:$N,MATCH($O53,기간별손익계산서!$Q:$Q,0),MONTH(인덱스!$K$1)),0)</f>
        <v>0</v>
      </c>
      <c r="K53" s="113" t="n">
        <f aca="false">J53-I53</f>
        <v>0</v>
      </c>
      <c r="L53" s="132" t="s">
        <v>198</v>
      </c>
      <c r="M53" s="129"/>
      <c r="N53" s="0" t="str">
        <f aca="false">SUBSTITUTE(A53," ","")</f>
        <v>법인세등</v>
      </c>
      <c r="O53" s="0" t="str">
        <f aca="false">N53&amp;"|"&amp;COUNTIF($N$7:N53,N53)</f>
        <v>법인세등|1</v>
      </c>
      <c r="P53" s="111" t="str">
        <f aca="false">IF($A53="","",IF(ISNUMBER(MATCH($O53,기간별손익계산서!$Q:$Q,0)),"✓ 일치","⚠ 확인필요"))</f>
        <v>⚠ 확인필요</v>
      </c>
      <c r="Q53" s="112" t="str">
        <f aca="false">IFERROR(IF(I53=0,"",(J53-I53)/ABS(I53)),"")</f>
        <v/>
      </c>
    </row>
    <row r="54" customFormat="false" ht="24" hidden="false" customHeight="true" outlineLevel="0" collapsed="false">
      <c r="A54" s="91" t="s">
        <v>187</v>
      </c>
      <c r="B54" s="109" t="n">
        <f aca="false">IFERROR(INDEX(기간별손익계산서!$B:$B,MATCH($O54,기간별손익계산서!$Q:$Q,0)),0)</f>
        <v>1144146511</v>
      </c>
      <c r="C54" s="109" t="n">
        <f aca="false">IFERROR(INDEX(기간별손익계산서!$C:$N,MATCH($O54,기간별손익계산서!$Q:$Q,0),1),0)</f>
        <v>40922828</v>
      </c>
      <c r="D54" s="109" t="n">
        <f aca="false">IFERROR(INDEX(기간별손익계산서!$C:$N,MATCH($O54,기간별손익계산서!$Q:$Q,0),2),0)</f>
        <v>148583799</v>
      </c>
      <c r="E54" s="109" t="n">
        <f aca="false">IFERROR(INDEX(기간별손익계산서!$C:$N,MATCH($O54,기간별손익계산서!$Q:$Q,0),3),0)</f>
        <v>230331161</v>
      </c>
      <c r="F54" s="109" t="n">
        <f aca="false">IFERROR(INDEX(기간별손익계산서!$C:$N,MATCH($O54,기간별손익계산서!$Q:$Q,0),4),0)</f>
        <v>281588793</v>
      </c>
      <c r="G54" s="109" t="n">
        <f aca="false">IFERROR(INDEX(기간별손익계산서!$C:$N,MATCH($O54,기간별손익계산서!$Q:$Q,0),5),0)</f>
        <v>229375083</v>
      </c>
      <c r="H54" s="109" t="n">
        <f aca="false">IFERROR(INDEX(기간별손익계산서!$C:$N,MATCH($O54,기간별손익계산서!$Q:$Q,0),6),0)</f>
        <v>213344847</v>
      </c>
      <c r="I54" s="109" t="n">
        <f aca="false">IFERROR(INDEX(기간별손익계산서!$C:$N,MATCH($O54,기간별손익계산서!$Q:$Q,0),MONTH(EOMONTH(인덱스!$K$1,-1))),0)</f>
        <v>229375083</v>
      </c>
      <c r="J54" s="109" t="n">
        <f aca="false">IFERROR(INDEX(기간별손익계산서!$C:$N,MATCH($O54,기간별손익계산서!$Q:$Q,0),MONTH(인덱스!$K$1)),0)</f>
        <v>213344847</v>
      </c>
      <c r="K54" s="109" t="n">
        <f aca="false">J54-I54</f>
        <v>-16030236</v>
      </c>
      <c r="L54" s="125" t="str">
        <f aca="false">IF(J54-I54&gt;0,"증가","감소")</f>
        <v>감소</v>
      </c>
      <c r="M54" s="126"/>
      <c r="N54" s="0" t="str">
        <f aca="false">SUBSTITUTE(A54," ","")</f>
        <v>Ⅹ.당기순이익</v>
      </c>
      <c r="O54" s="0" t="str">
        <f aca="false">N54&amp;"|"&amp;COUNTIF($N$7:N54,N54)</f>
        <v>Ⅹ.당기순이익|1</v>
      </c>
      <c r="P54" s="111" t="str">
        <f aca="false">IF($A54="","",IF(ISNUMBER(MATCH($O54,기간별손익계산서!$Q:$Q,0)),"✓ 일치","⚠ 확인필요"))</f>
        <v>✓ 일치</v>
      </c>
      <c r="Q54" s="112" t="n">
        <f aca="false">IFERROR(IF(I54=0,"",(J54-I54)/ABS(I54)),"")</f>
        <v>-0.0698865621772876</v>
      </c>
    </row>
    <row r="55" customFormat="false" ht="11.25" hidden="false" customHeight="true" outlineLevel="0" collapsed="false">
      <c r="J55" s="136"/>
    </row>
  </sheetData>
  <mergeCells count="2">
    <mergeCell ref="A1:M1"/>
    <mergeCell ref="A3:M3"/>
  </mergeCells>
  <conditionalFormatting sqref="P7:P54">
    <cfRule type="expression" priority="2" aboveAverage="0" equalAverage="0" bottom="0" percent="0" rank="0" text="" dxfId="3">
      <formula>$P7="✓ 일치"</formula>
    </cfRule>
    <cfRule type="expression" priority="3" aboveAverage="0" equalAverage="0" bottom="0" percent="0" rank="0" text="" dxfId="4">
      <formula>$P7="⚠ 확인필요"</formula>
    </cfRule>
  </conditionalFormatting>
  <conditionalFormatting sqref="Q7:Q54">
    <cfRule type="expression" priority="4" aboveAverage="0" equalAverage="0" bottom="0" percent="0" rank="0" text="" dxfId="0">
      <formula>Q7&gt;0</formula>
    </cfRule>
    <cfRule type="expression" priority="5" aboveAverage="0" equalAverage="0" bottom="0" percent="0" rank="0" text="" dxfId="1">
      <formula>Q7&lt;0</formula>
    </cfRule>
    <cfRule type="expression" priority="6" aboveAverage="0" equalAverage="0" bottom="0" percent="0" rank="0" text="" dxfId="2">
      <formula>ABS(Q7)&gt;0.2</formula>
    </cfRule>
  </conditionalFormatting>
  <printOptions headings="false" gridLines="false" gridLinesSet="true" horizontalCentered="true" verticalCentered="false"/>
  <pageMargins left="0.511805555555556" right="0.511805555555556" top="0.590277777777778" bottom="0.354861111111111" header="0.511811023622047" footer="0.315277777777778"/>
  <pageSetup paperSize="9" scale="6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5.3359375" defaultRowHeight="11.25" zeroHeight="false" outlineLevelRow="0" outlineLevelCol="0"/>
  <cols>
    <col collapsed="false" customWidth="true" hidden="false" outlineLevel="0" max="1" min="1" style="0" width="33.33"/>
    <col collapsed="false" customWidth="true" hidden="false" outlineLevel="0" max="5" min="2" style="0" width="23.33"/>
    <col collapsed="false" customWidth="true" hidden="true" outlineLevel="0" max="7" min="6" style="0" width="13"/>
    <col collapsed="false" customWidth="true" hidden="false" outlineLevel="0" max="257" min="257" style="0" width="33.33"/>
    <col collapsed="false" customWidth="true" hidden="false" outlineLevel="0" max="261" min="258" style="0" width="23.33"/>
    <col collapsed="false" customWidth="true" hidden="false" outlineLevel="0" max="513" min="513" style="0" width="33.33"/>
    <col collapsed="false" customWidth="true" hidden="false" outlineLevel="0" max="517" min="514" style="0" width="23.33"/>
    <col collapsed="false" customWidth="true" hidden="false" outlineLevel="0" max="769" min="769" style="0" width="33.33"/>
    <col collapsed="false" customWidth="true" hidden="false" outlineLevel="0" max="773" min="770" style="0" width="23.33"/>
    <col collapsed="false" customWidth="true" hidden="false" outlineLevel="0" max="1025" min="1025" style="0" width="33.33"/>
    <col collapsed="false" customWidth="true" hidden="false" outlineLevel="0" max="1029" min="1026" style="0" width="23.33"/>
    <col collapsed="false" customWidth="true" hidden="false" outlineLevel="0" max="1281" min="1281" style="0" width="33.33"/>
    <col collapsed="false" customWidth="true" hidden="false" outlineLevel="0" max="1285" min="1282" style="0" width="23.33"/>
    <col collapsed="false" customWidth="true" hidden="false" outlineLevel="0" max="1537" min="1537" style="0" width="33.33"/>
    <col collapsed="false" customWidth="true" hidden="false" outlineLevel="0" max="1541" min="1538" style="0" width="23.33"/>
    <col collapsed="false" customWidth="true" hidden="false" outlineLevel="0" max="1793" min="1793" style="0" width="33.33"/>
    <col collapsed="false" customWidth="true" hidden="false" outlineLevel="0" max="1797" min="1794" style="0" width="23.33"/>
    <col collapsed="false" customWidth="true" hidden="false" outlineLevel="0" max="2049" min="2049" style="0" width="33.33"/>
    <col collapsed="false" customWidth="true" hidden="false" outlineLevel="0" max="2053" min="2050" style="0" width="23.33"/>
    <col collapsed="false" customWidth="true" hidden="false" outlineLevel="0" max="2305" min="2305" style="0" width="33.33"/>
    <col collapsed="false" customWidth="true" hidden="false" outlineLevel="0" max="2309" min="2306" style="0" width="23.33"/>
    <col collapsed="false" customWidth="true" hidden="false" outlineLevel="0" max="2561" min="2561" style="0" width="33.33"/>
    <col collapsed="false" customWidth="true" hidden="false" outlineLevel="0" max="2565" min="2562" style="0" width="23.33"/>
    <col collapsed="false" customWidth="true" hidden="false" outlineLevel="0" max="2817" min="2817" style="0" width="33.33"/>
    <col collapsed="false" customWidth="true" hidden="false" outlineLevel="0" max="2821" min="2818" style="0" width="23.33"/>
    <col collapsed="false" customWidth="true" hidden="false" outlineLevel="0" max="3073" min="3073" style="0" width="33.33"/>
    <col collapsed="false" customWidth="true" hidden="false" outlineLevel="0" max="3077" min="3074" style="0" width="23.33"/>
    <col collapsed="false" customWidth="true" hidden="false" outlineLevel="0" max="3329" min="3329" style="0" width="33.33"/>
    <col collapsed="false" customWidth="true" hidden="false" outlineLevel="0" max="3333" min="3330" style="0" width="23.33"/>
    <col collapsed="false" customWidth="true" hidden="false" outlineLevel="0" max="3585" min="3585" style="0" width="33.33"/>
    <col collapsed="false" customWidth="true" hidden="false" outlineLevel="0" max="3589" min="3586" style="0" width="23.33"/>
    <col collapsed="false" customWidth="true" hidden="false" outlineLevel="0" max="3841" min="3841" style="0" width="33.33"/>
    <col collapsed="false" customWidth="true" hidden="false" outlineLevel="0" max="3845" min="3842" style="0" width="23.33"/>
    <col collapsed="false" customWidth="true" hidden="false" outlineLevel="0" max="4097" min="4097" style="0" width="33.33"/>
    <col collapsed="false" customWidth="true" hidden="false" outlineLevel="0" max="4101" min="4098" style="0" width="23.33"/>
    <col collapsed="false" customWidth="true" hidden="false" outlineLevel="0" max="4353" min="4353" style="0" width="33.33"/>
    <col collapsed="false" customWidth="true" hidden="false" outlineLevel="0" max="4357" min="4354" style="0" width="23.33"/>
    <col collapsed="false" customWidth="true" hidden="false" outlineLevel="0" max="4609" min="4609" style="0" width="33.33"/>
    <col collapsed="false" customWidth="true" hidden="false" outlineLevel="0" max="4613" min="4610" style="0" width="23.33"/>
    <col collapsed="false" customWidth="true" hidden="false" outlineLevel="0" max="4865" min="4865" style="0" width="33.33"/>
    <col collapsed="false" customWidth="true" hidden="false" outlineLevel="0" max="4869" min="4866" style="0" width="23.33"/>
    <col collapsed="false" customWidth="true" hidden="false" outlineLevel="0" max="5121" min="5121" style="0" width="33.33"/>
    <col collapsed="false" customWidth="true" hidden="false" outlineLevel="0" max="5125" min="5122" style="0" width="23.33"/>
    <col collapsed="false" customWidth="true" hidden="false" outlineLevel="0" max="5377" min="5377" style="0" width="33.33"/>
    <col collapsed="false" customWidth="true" hidden="false" outlineLevel="0" max="5381" min="5378" style="0" width="23.33"/>
    <col collapsed="false" customWidth="true" hidden="false" outlineLevel="0" max="5633" min="5633" style="0" width="33.33"/>
    <col collapsed="false" customWidth="true" hidden="false" outlineLevel="0" max="5637" min="5634" style="0" width="23.33"/>
    <col collapsed="false" customWidth="true" hidden="false" outlineLevel="0" max="5889" min="5889" style="0" width="33.33"/>
    <col collapsed="false" customWidth="true" hidden="false" outlineLevel="0" max="5893" min="5890" style="0" width="23.33"/>
    <col collapsed="false" customWidth="true" hidden="false" outlineLevel="0" max="6145" min="6145" style="0" width="33.33"/>
    <col collapsed="false" customWidth="true" hidden="false" outlineLevel="0" max="6149" min="6146" style="0" width="23.33"/>
    <col collapsed="false" customWidth="true" hidden="false" outlineLevel="0" max="6401" min="6401" style="0" width="33.33"/>
    <col collapsed="false" customWidth="true" hidden="false" outlineLevel="0" max="6405" min="6402" style="0" width="23.33"/>
    <col collapsed="false" customWidth="true" hidden="false" outlineLevel="0" max="6657" min="6657" style="0" width="33.33"/>
    <col collapsed="false" customWidth="true" hidden="false" outlineLevel="0" max="6661" min="6658" style="0" width="23.33"/>
    <col collapsed="false" customWidth="true" hidden="false" outlineLevel="0" max="6913" min="6913" style="0" width="33.33"/>
    <col collapsed="false" customWidth="true" hidden="false" outlineLevel="0" max="6917" min="6914" style="0" width="23.33"/>
    <col collapsed="false" customWidth="true" hidden="false" outlineLevel="0" max="7169" min="7169" style="0" width="33.33"/>
    <col collapsed="false" customWidth="true" hidden="false" outlineLevel="0" max="7173" min="7170" style="0" width="23.33"/>
    <col collapsed="false" customWidth="true" hidden="false" outlineLevel="0" max="7425" min="7425" style="0" width="33.33"/>
    <col collapsed="false" customWidth="true" hidden="false" outlineLevel="0" max="7429" min="7426" style="0" width="23.33"/>
    <col collapsed="false" customWidth="true" hidden="false" outlineLevel="0" max="7681" min="7681" style="0" width="33.33"/>
    <col collapsed="false" customWidth="true" hidden="false" outlineLevel="0" max="7685" min="7682" style="0" width="23.33"/>
    <col collapsed="false" customWidth="true" hidden="false" outlineLevel="0" max="7937" min="7937" style="0" width="33.33"/>
    <col collapsed="false" customWidth="true" hidden="false" outlineLevel="0" max="7941" min="7938" style="0" width="23.33"/>
    <col collapsed="false" customWidth="true" hidden="false" outlineLevel="0" max="8193" min="8193" style="0" width="33.33"/>
    <col collapsed="false" customWidth="true" hidden="false" outlineLevel="0" max="8197" min="8194" style="0" width="23.33"/>
    <col collapsed="false" customWidth="true" hidden="false" outlineLevel="0" max="8449" min="8449" style="0" width="33.33"/>
    <col collapsed="false" customWidth="true" hidden="false" outlineLevel="0" max="8453" min="8450" style="0" width="23.33"/>
    <col collapsed="false" customWidth="true" hidden="false" outlineLevel="0" max="8705" min="8705" style="0" width="33.33"/>
    <col collapsed="false" customWidth="true" hidden="false" outlineLevel="0" max="8709" min="8706" style="0" width="23.33"/>
    <col collapsed="false" customWidth="true" hidden="false" outlineLevel="0" max="8961" min="8961" style="0" width="33.33"/>
    <col collapsed="false" customWidth="true" hidden="false" outlineLevel="0" max="8965" min="8962" style="0" width="23.33"/>
    <col collapsed="false" customWidth="true" hidden="false" outlineLevel="0" max="9217" min="9217" style="0" width="33.33"/>
    <col collapsed="false" customWidth="true" hidden="false" outlineLevel="0" max="9221" min="9218" style="0" width="23.33"/>
    <col collapsed="false" customWidth="true" hidden="false" outlineLevel="0" max="9473" min="9473" style="0" width="33.33"/>
    <col collapsed="false" customWidth="true" hidden="false" outlineLevel="0" max="9477" min="9474" style="0" width="23.33"/>
    <col collapsed="false" customWidth="true" hidden="false" outlineLevel="0" max="9729" min="9729" style="0" width="33.33"/>
    <col collapsed="false" customWidth="true" hidden="false" outlineLevel="0" max="9733" min="9730" style="0" width="23.33"/>
    <col collapsed="false" customWidth="true" hidden="false" outlineLevel="0" max="9985" min="9985" style="0" width="33.33"/>
    <col collapsed="false" customWidth="true" hidden="false" outlineLevel="0" max="9989" min="9986" style="0" width="23.33"/>
    <col collapsed="false" customWidth="true" hidden="false" outlineLevel="0" max="10241" min="10241" style="0" width="33.33"/>
    <col collapsed="false" customWidth="true" hidden="false" outlineLevel="0" max="10245" min="10242" style="0" width="23.33"/>
    <col collapsed="false" customWidth="true" hidden="false" outlineLevel="0" max="10497" min="10497" style="0" width="33.33"/>
    <col collapsed="false" customWidth="true" hidden="false" outlineLevel="0" max="10501" min="10498" style="0" width="23.33"/>
    <col collapsed="false" customWidth="true" hidden="false" outlineLevel="0" max="10753" min="10753" style="0" width="33.33"/>
    <col collapsed="false" customWidth="true" hidden="false" outlineLevel="0" max="10757" min="10754" style="0" width="23.33"/>
    <col collapsed="false" customWidth="true" hidden="false" outlineLevel="0" max="11009" min="11009" style="0" width="33.33"/>
    <col collapsed="false" customWidth="true" hidden="false" outlineLevel="0" max="11013" min="11010" style="0" width="23.33"/>
    <col collapsed="false" customWidth="true" hidden="false" outlineLevel="0" max="11265" min="11265" style="0" width="33.33"/>
    <col collapsed="false" customWidth="true" hidden="false" outlineLevel="0" max="11269" min="11266" style="0" width="23.33"/>
    <col collapsed="false" customWidth="true" hidden="false" outlineLevel="0" max="11521" min="11521" style="0" width="33.33"/>
    <col collapsed="false" customWidth="true" hidden="false" outlineLevel="0" max="11525" min="11522" style="0" width="23.33"/>
    <col collapsed="false" customWidth="true" hidden="false" outlineLevel="0" max="11777" min="11777" style="0" width="33.33"/>
    <col collapsed="false" customWidth="true" hidden="false" outlineLevel="0" max="11781" min="11778" style="0" width="23.33"/>
    <col collapsed="false" customWidth="true" hidden="false" outlineLevel="0" max="12033" min="12033" style="0" width="33.33"/>
    <col collapsed="false" customWidth="true" hidden="false" outlineLevel="0" max="12037" min="12034" style="0" width="23.33"/>
    <col collapsed="false" customWidth="true" hidden="false" outlineLevel="0" max="12289" min="12289" style="0" width="33.33"/>
    <col collapsed="false" customWidth="true" hidden="false" outlineLevel="0" max="12293" min="12290" style="0" width="23.33"/>
    <col collapsed="false" customWidth="true" hidden="false" outlineLevel="0" max="12545" min="12545" style="0" width="33.33"/>
    <col collapsed="false" customWidth="true" hidden="false" outlineLevel="0" max="12549" min="12546" style="0" width="23.33"/>
    <col collapsed="false" customWidth="true" hidden="false" outlineLevel="0" max="12801" min="12801" style="0" width="33.33"/>
    <col collapsed="false" customWidth="true" hidden="false" outlineLevel="0" max="12805" min="12802" style="0" width="23.33"/>
    <col collapsed="false" customWidth="true" hidden="false" outlineLevel="0" max="13057" min="13057" style="0" width="33.33"/>
    <col collapsed="false" customWidth="true" hidden="false" outlineLevel="0" max="13061" min="13058" style="0" width="23.33"/>
    <col collapsed="false" customWidth="true" hidden="false" outlineLevel="0" max="13313" min="13313" style="0" width="33.33"/>
    <col collapsed="false" customWidth="true" hidden="false" outlineLevel="0" max="13317" min="13314" style="0" width="23.33"/>
    <col collapsed="false" customWidth="true" hidden="false" outlineLevel="0" max="13569" min="13569" style="0" width="33.33"/>
    <col collapsed="false" customWidth="true" hidden="false" outlineLevel="0" max="13573" min="13570" style="0" width="23.33"/>
    <col collapsed="false" customWidth="true" hidden="false" outlineLevel="0" max="13825" min="13825" style="0" width="33.33"/>
    <col collapsed="false" customWidth="true" hidden="false" outlineLevel="0" max="13829" min="13826" style="0" width="23.33"/>
    <col collapsed="false" customWidth="true" hidden="false" outlineLevel="0" max="14081" min="14081" style="0" width="33.33"/>
    <col collapsed="false" customWidth="true" hidden="false" outlineLevel="0" max="14085" min="14082" style="0" width="23.33"/>
    <col collapsed="false" customWidth="true" hidden="false" outlineLevel="0" max="14337" min="14337" style="0" width="33.33"/>
    <col collapsed="false" customWidth="true" hidden="false" outlineLevel="0" max="14341" min="14338" style="0" width="23.33"/>
    <col collapsed="false" customWidth="true" hidden="false" outlineLevel="0" max="14593" min="14593" style="0" width="33.33"/>
    <col collapsed="false" customWidth="true" hidden="false" outlineLevel="0" max="14597" min="14594" style="0" width="23.33"/>
    <col collapsed="false" customWidth="true" hidden="false" outlineLevel="0" max="14849" min="14849" style="0" width="33.33"/>
    <col collapsed="false" customWidth="true" hidden="false" outlineLevel="0" max="14853" min="14850" style="0" width="23.33"/>
    <col collapsed="false" customWidth="true" hidden="false" outlineLevel="0" max="15105" min="15105" style="0" width="33.33"/>
    <col collapsed="false" customWidth="true" hidden="false" outlineLevel="0" max="15109" min="15106" style="0" width="23.33"/>
    <col collapsed="false" customWidth="true" hidden="false" outlineLevel="0" max="15361" min="15361" style="0" width="33.33"/>
    <col collapsed="false" customWidth="true" hidden="false" outlineLevel="0" max="15365" min="15362" style="0" width="23.33"/>
    <col collapsed="false" customWidth="true" hidden="false" outlineLevel="0" max="15617" min="15617" style="0" width="33.33"/>
    <col collapsed="false" customWidth="true" hidden="false" outlineLevel="0" max="15621" min="15618" style="0" width="23.33"/>
    <col collapsed="false" customWidth="true" hidden="false" outlineLevel="0" max="15873" min="15873" style="0" width="33.33"/>
    <col collapsed="false" customWidth="true" hidden="false" outlineLevel="0" max="15877" min="15874" style="0" width="23.33"/>
    <col collapsed="false" customWidth="true" hidden="false" outlineLevel="0" max="16129" min="16129" style="0" width="33.33"/>
    <col collapsed="false" customWidth="true" hidden="false" outlineLevel="0" max="16133" min="16130" style="0" width="23.33"/>
  </cols>
  <sheetData>
    <row r="1" customFormat="false" ht="18.75" hidden="false" customHeight="true" outlineLevel="0" collapsed="false">
      <c r="A1" s="137" t="s">
        <v>47</v>
      </c>
      <c r="B1" s="138" t="s">
        <v>48</v>
      </c>
      <c r="C1" s="138"/>
      <c r="D1" s="138" t="s">
        <v>50</v>
      </c>
      <c r="E1" s="138"/>
    </row>
    <row r="2" customFormat="false" ht="18.75" hidden="false" customHeight="true" outlineLevel="0" collapsed="false">
      <c r="A2" s="137"/>
      <c r="B2" s="137" t="s">
        <v>53</v>
      </c>
      <c r="C2" s="137"/>
      <c r="D2" s="137" t="s">
        <v>54</v>
      </c>
      <c r="E2" s="137"/>
    </row>
    <row r="3" customFormat="false" ht="12" hidden="false" customHeight="true" outlineLevel="0" collapsed="false">
      <c r="A3" s="139" t="s">
        <v>55</v>
      </c>
      <c r="B3" s="140"/>
      <c r="C3" s="140"/>
      <c r="D3" s="140"/>
      <c r="E3" s="140"/>
      <c r="F3" s="0" t="str">
        <f aca="false">IF(A3="","",SUBSTITUTE(A3," ",""))</f>
        <v>자산</v>
      </c>
      <c r="G3" s="0" t="str">
        <f aca="false">IF(A3="","",F3&amp;"|"&amp;COUNTIF($F$3:F3,F3))</f>
        <v>자산|1</v>
      </c>
    </row>
    <row r="4" customFormat="false" ht="12" hidden="false" customHeight="true" outlineLevel="0" collapsed="false">
      <c r="A4" s="141" t="s">
        <v>218</v>
      </c>
      <c r="B4" s="140"/>
      <c r="C4" s="140" t="s">
        <v>219</v>
      </c>
      <c r="D4" s="140"/>
      <c r="E4" s="140" t="s">
        <v>220</v>
      </c>
      <c r="F4" s="0" t="str">
        <f aca="false">IF(A4="","",SUBSTITUTE(A4," ",""))</f>
        <v>Ⅰ.유동자산</v>
      </c>
      <c r="G4" s="0" t="str">
        <f aca="false">IF(A4="","",F4&amp;"|"&amp;COUNTIF($F$3:F4,F4))</f>
        <v>Ⅰ.유동자산|1</v>
      </c>
    </row>
    <row r="5" customFormat="false" ht="12" hidden="false" customHeight="true" outlineLevel="0" collapsed="false">
      <c r="A5" s="141" t="s">
        <v>57</v>
      </c>
      <c r="B5" s="140"/>
      <c r="C5" s="140" t="s">
        <v>221</v>
      </c>
      <c r="D5" s="140"/>
      <c r="E5" s="140" t="s">
        <v>222</v>
      </c>
      <c r="F5" s="0" t="str">
        <f aca="false">IF(A5="","",SUBSTITUTE(A5," ",""))</f>
        <v>(1)당좌자산</v>
      </c>
      <c r="G5" s="0" t="str">
        <f aca="false">IF(A5="","",F5&amp;"|"&amp;COUNTIF($F$3:F5,F5))</f>
        <v>(1)당좌자산|1</v>
      </c>
    </row>
    <row r="6" customFormat="false" ht="12" hidden="false" customHeight="true" outlineLevel="0" collapsed="false">
      <c r="A6" s="139" t="s">
        <v>58</v>
      </c>
      <c r="B6" s="140"/>
      <c r="C6" s="140" t="s">
        <v>223</v>
      </c>
      <c r="D6" s="140"/>
      <c r="E6" s="140" t="s">
        <v>224</v>
      </c>
      <c r="F6" s="0" t="str">
        <f aca="false">IF(A6="","",SUBSTITUTE(A6," ",""))</f>
        <v>현금</v>
      </c>
      <c r="G6" s="0" t="str">
        <f aca="false">IF(A6="","",F6&amp;"|"&amp;COUNTIF($F$3:F6,F6))</f>
        <v>현금|1</v>
      </c>
    </row>
    <row r="7" customFormat="false" ht="12" hidden="false" customHeight="true" outlineLevel="0" collapsed="false">
      <c r="A7" s="139" t="s">
        <v>59</v>
      </c>
      <c r="B7" s="140"/>
      <c r="C7" s="140" t="s">
        <v>225</v>
      </c>
      <c r="D7" s="140"/>
      <c r="E7" s="140" t="s">
        <v>226</v>
      </c>
      <c r="F7" s="0" t="str">
        <f aca="false">IF(A7="","",SUBSTITUTE(A7," ",""))</f>
        <v>보통예금</v>
      </c>
      <c r="G7" s="0" t="str">
        <f aca="false">IF(A7="","",F7&amp;"|"&amp;COUNTIF($F$3:F7,F7))</f>
        <v>보통예금|1</v>
      </c>
    </row>
    <row r="8" customFormat="false" ht="12" hidden="false" customHeight="true" outlineLevel="0" collapsed="false">
      <c r="A8" s="139" t="s">
        <v>60</v>
      </c>
      <c r="B8" s="140"/>
      <c r="C8" s="140" t="s">
        <v>227</v>
      </c>
      <c r="D8" s="140"/>
      <c r="E8" s="140" t="s">
        <v>228</v>
      </c>
      <c r="F8" s="0" t="str">
        <f aca="false">IF(A8="","",SUBSTITUTE(A8," ",""))</f>
        <v>단기금융상품</v>
      </c>
      <c r="G8" s="0" t="str">
        <f aca="false">IF(A8="","",F8&amp;"|"&amp;COUNTIF($F$3:F8,F8))</f>
        <v>단기금융상품|1</v>
      </c>
    </row>
    <row r="9" customFormat="false" ht="12" hidden="false" customHeight="true" outlineLevel="0" collapsed="false">
      <c r="A9" s="139" t="s">
        <v>61</v>
      </c>
      <c r="B9" s="140"/>
      <c r="C9" s="140" t="s">
        <v>229</v>
      </c>
      <c r="D9" s="140"/>
      <c r="E9" s="140" t="s">
        <v>230</v>
      </c>
      <c r="F9" s="0" t="str">
        <f aca="false">IF(A9="","",SUBSTITUTE(A9," ",""))</f>
        <v>외화보통예금</v>
      </c>
      <c r="G9" s="0" t="str">
        <f aca="false">IF(A9="","",F9&amp;"|"&amp;COUNTIF($F$3:F9,F9))</f>
        <v>외화보통예금|1</v>
      </c>
    </row>
    <row r="10" customFormat="false" ht="12" hidden="false" customHeight="true" outlineLevel="0" collapsed="false">
      <c r="A10" s="139" t="s">
        <v>62</v>
      </c>
      <c r="B10" s="140" t="s">
        <v>231</v>
      </c>
      <c r="C10" s="140"/>
      <c r="D10" s="140" t="s">
        <v>232</v>
      </c>
      <c r="E10" s="140"/>
      <c r="F10" s="0" t="str">
        <f aca="false">IF(A10="","",SUBSTITUTE(A10," ",""))</f>
        <v>외상매출금</v>
      </c>
      <c r="G10" s="0" t="str">
        <f aca="false">IF(A10="","",F10&amp;"|"&amp;COUNTIF($F$3:F10,F10))</f>
        <v>외상매출금|1</v>
      </c>
    </row>
    <row r="11" customFormat="false" ht="12" hidden="false" customHeight="true" outlineLevel="0" collapsed="false">
      <c r="A11" s="139" t="s">
        <v>63</v>
      </c>
      <c r="B11" s="140" t="s">
        <v>233</v>
      </c>
      <c r="C11" s="140" t="s">
        <v>234</v>
      </c>
      <c r="D11" s="140" t="s">
        <v>233</v>
      </c>
      <c r="E11" s="140" t="s">
        <v>235</v>
      </c>
      <c r="F11" s="0" t="str">
        <f aca="false">IF(A11="","",SUBSTITUTE(A11," ",""))</f>
        <v>대손충당금</v>
      </c>
      <c r="G11" s="0" t="str">
        <f aca="false">IF(A11="","",F11&amp;"|"&amp;COUNTIF($F$3:F11,F11))</f>
        <v>대손충당금|1</v>
      </c>
    </row>
    <row r="12" customFormat="false" ht="12" hidden="false" customHeight="true" outlineLevel="0" collapsed="false">
      <c r="A12" s="139" t="s">
        <v>64</v>
      </c>
      <c r="B12" s="140" t="s">
        <v>236</v>
      </c>
      <c r="C12" s="140"/>
      <c r="D12" s="140" t="s">
        <v>237</v>
      </c>
      <c r="E12" s="140"/>
      <c r="F12" s="0" t="str">
        <f aca="false">IF(A12="","",SUBSTITUTE(A12," ",""))</f>
        <v>받을어음</v>
      </c>
      <c r="G12" s="0" t="str">
        <f aca="false">IF(A12="","",F12&amp;"|"&amp;COUNTIF($F$3:F12,F12))</f>
        <v>받을어음|1</v>
      </c>
    </row>
    <row r="13" customFormat="false" ht="12" hidden="false" customHeight="true" outlineLevel="0" collapsed="false">
      <c r="A13" s="139" t="s">
        <v>63</v>
      </c>
      <c r="B13" s="140" t="s">
        <v>238</v>
      </c>
      <c r="C13" s="140" t="s">
        <v>239</v>
      </c>
      <c r="D13" s="140" t="s">
        <v>238</v>
      </c>
      <c r="E13" s="140" t="s">
        <v>240</v>
      </c>
      <c r="F13" s="0" t="str">
        <f aca="false">IF(A13="","",SUBSTITUTE(A13," ",""))</f>
        <v>대손충당금</v>
      </c>
      <c r="G13" s="0" t="str">
        <f aca="false">IF(A13="","",F13&amp;"|"&amp;COUNTIF($F$3:F13,F13))</f>
        <v>대손충당금|2</v>
      </c>
    </row>
    <row r="14" customFormat="false" ht="14.15" hidden="false" customHeight="false" outlineLevel="0" collapsed="false">
      <c r="A14" s="142" t="s">
        <v>66</v>
      </c>
      <c r="B14" s="140"/>
      <c r="C14" s="140" t="s">
        <v>241</v>
      </c>
      <c r="D14" s="140"/>
      <c r="E14" s="140" t="s">
        <v>241</v>
      </c>
      <c r="F14" s="0" t="str">
        <f aca="false">IF(A14="","",SUBSTITUTE(A14," ",""))</f>
        <v>미수수익</v>
      </c>
      <c r="G14" s="0" t="str">
        <f aca="false">IF(A14="","",F14&amp;"|"&amp;COUNTIF($F$3:F14,F14))</f>
        <v>미수수익|1</v>
      </c>
    </row>
    <row r="15" customFormat="false" ht="12" hidden="false" customHeight="true" outlineLevel="0" collapsed="false">
      <c r="A15" s="139" t="s">
        <v>68</v>
      </c>
      <c r="B15" s="140"/>
      <c r="C15" s="140" t="s">
        <v>242</v>
      </c>
      <c r="D15" s="140"/>
      <c r="E15" s="140" t="s">
        <v>243</v>
      </c>
      <c r="F15" s="0" t="str">
        <f aca="false">IF(A15="","",SUBSTITUTE(A15," ",""))</f>
        <v>미수금</v>
      </c>
      <c r="G15" s="0" t="str">
        <f aca="false">IF(A15="","",F15&amp;"|"&amp;COUNTIF($F$3:F15,F15))</f>
        <v>미수금|1</v>
      </c>
    </row>
    <row r="16" customFormat="false" ht="12" hidden="false" customHeight="true" outlineLevel="0" collapsed="false">
      <c r="A16" s="139" t="s">
        <v>70</v>
      </c>
      <c r="B16" s="140"/>
      <c r="C16" s="140" t="s">
        <v>244</v>
      </c>
      <c r="D16" s="140"/>
      <c r="E16" s="140" t="s">
        <v>245</v>
      </c>
      <c r="F16" s="0" t="str">
        <f aca="false">IF(A16="","",SUBSTITUTE(A16," ",""))</f>
        <v>선급금</v>
      </c>
      <c r="G16" s="0" t="str">
        <f aca="false">IF(A16="","",F16&amp;"|"&amp;COUNTIF($F$3:F16,F16))</f>
        <v>선급금|1</v>
      </c>
    </row>
    <row r="17" customFormat="false" ht="12" hidden="false" customHeight="true" outlineLevel="0" collapsed="false">
      <c r="A17" s="139" t="s">
        <v>72</v>
      </c>
      <c r="B17" s="140"/>
      <c r="C17" s="140" t="s">
        <v>246</v>
      </c>
      <c r="D17" s="140"/>
      <c r="E17" s="140" t="s">
        <v>247</v>
      </c>
      <c r="F17" s="0" t="str">
        <f aca="false">IF(A17="","",SUBSTITUTE(A17," ",""))</f>
        <v>선급비용</v>
      </c>
      <c r="G17" s="0" t="str">
        <f aca="false">IF(A17="","",F17&amp;"|"&amp;COUNTIF($F$3:F17,F17))</f>
        <v>선급비용|1</v>
      </c>
    </row>
    <row r="18" customFormat="false" ht="12" hidden="false" customHeight="true" outlineLevel="0" collapsed="false">
      <c r="A18" s="139" t="s">
        <v>74</v>
      </c>
      <c r="B18" s="140"/>
      <c r="C18" s="140" t="s">
        <v>248</v>
      </c>
      <c r="D18" s="140"/>
      <c r="E18" s="140"/>
      <c r="F18" s="0" t="str">
        <f aca="false">IF(A18="","",SUBSTITUTE(A18," ",""))</f>
        <v>가지급금</v>
      </c>
      <c r="G18" s="0" t="str">
        <f aca="false">IF(A18="","",F18&amp;"|"&amp;COUNTIF($F$3:F18,F18))</f>
        <v>가지급금|1</v>
      </c>
    </row>
    <row r="19" customFormat="false" ht="12" hidden="false" customHeight="true" outlineLevel="0" collapsed="false">
      <c r="A19" s="139" t="s">
        <v>77</v>
      </c>
      <c r="B19" s="140"/>
      <c r="C19" s="140" t="s">
        <v>249</v>
      </c>
      <c r="D19" s="140"/>
      <c r="E19" s="140" t="s">
        <v>250</v>
      </c>
      <c r="F19" s="0" t="str">
        <f aca="false">IF(A19="","",SUBSTITUTE(A19," ",""))</f>
        <v>선납세금</v>
      </c>
      <c r="G19" s="0" t="str">
        <f aca="false">IF(A19="","",F19&amp;"|"&amp;COUNTIF($F$3:F19,F19))</f>
        <v>선납세금|1</v>
      </c>
    </row>
    <row r="20" customFormat="false" ht="14.15" hidden="false" customHeight="false" outlineLevel="0" collapsed="false">
      <c r="A20" s="141" t="s">
        <v>79</v>
      </c>
      <c r="B20" s="140"/>
      <c r="C20" s="140" t="s">
        <v>251</v>
      </c>
      <c r="D20" s="140"/>
      <c r="E20" s="140" t="s">
        <v>252</v>
      </c>
      <c r="F20" s="0" t="str">
        <f aca="false">IF(A20="","",SUBSTITUTE(A20," ",""))</f>
        <v>(2)재고자산</v>
      </c>
      <c r="G20" s="0" t="str">
        <f aca="false">IF(A20="","",F20&amp;"|"&amp;COUNTIF($F$3:F20,F20))</f>
        <v>(2)재고자산|1</v>
      </c>
    </row>
    <row r="21" customFormat="false" ht="12" hidden="false" customHeight="true" outlineLevel="0" collapsed="false">
      <c r="A21" s="139" t="s">
        <v>80</v>
      </c>
      <c r="B21" s="140"/>
      <c r="C21" s="140" t="s">
        <v>251</v>
      </c>
      <c r="D21" s="140"/>
      <c r="E21" s="140" t="s">
        <v>252</v>
      </c>
      <c r="F21" s="0" t="str">
        <f aca="false">IF(A21="","",SUBSTITUTE(A21," ",""))</f>
        <v>상품</v>
      </c>
      <c r="G21" s="0" t="str">
        <f aca="false">IF(A21="","",F21&amp;"|"&amp;COUNTIF($F$3:F21,F21))</f>
        <v>상품|1</v>
      </c>
    </row>
    <row r="22" customFormat="false" ht="12" hidden="false" customHeight="true" outlineLevel="0" collapsed="false">
      <c r="A22" s="141" t="s">
        <v>253</v>
      </c>
      <c r="B22" s="140"/>
      <c r="C22" s="140" t="s">
        <v>254</v>
      </c>
      <c r="D22" s="140"/>
      <c r="E22" s="140" t="s">
        <v>255</v>
      </c>
      <c r="F22" s="0" t="str">
        <f aca="false">IF(A22="","",SUBSTITUTE(A22," ",""))</f>
        <v>Ⅱ.비유동자산</v>
      </c>
      <c r="G22" s="0" t="str">
        <f aca="false">IF(A22="","",F22&amp;"|"&amp;COUNTIF($F$3:F22,F22))</f>
        <v>Ⅱ.비유동자산|1</v>
      </c>
    </row>
    <row r="23" customFormat="false" ht="12" hidden="false" customHeight="true" outlineLevel="0" collapsed="false">
      <c r="A23" s="139" t="s">
        <v>256</v>
      </c>
      <c r="B23" s="140"/>
      <c r="C23" s="140" t="s">
        <v>257</v>
      </c>
      <c r="D23" s="140"/>
      <c r="E23" s="140" t="s">
        <v>257</v>
      </c>
      <c r="F23" s="0" t="str">
        <f aca="false">IF(A23="","",SUBSTITUTE(A23," ",""))</f>
        <v>(1)투자자산</v>
      </c>
      <c r="G23" s="0" t="str">
        <f aca="false">IF(A23="","",F23&amp;"|"&amp;COUNTIF($F$3:F23,F23))</f>
        <v>(1)투자자산|1</v>
      </c>
    </row>
    <row r="24" customFormat="false" ht="12" hidden="false" customHeight="true" outlineLevel="0" collapsed="false">
      <c r="A24" s="142" t="s">
        <v>83</v>
      </c>
      <c r="B24" s="140"/>
      <c r="C24" s="140" t="s">
        <v>257</v>
      </c>
      <c r="D24" s="140"/>
      <c r="E24" s="140" t="s">
        <v>257</v>
      </c>
      <c r="F24" s="0" t="str">
        <f aca="false">IF(A24="","",SUBSTITUTE(A24," ",""))</f>
        <v>매도가능증권</v>
      </c>
      <c r="G24" s="0" t="str">
        <f aca="false">IF(A24="","",F24&amp;"|"&amp;COUNTIF($F$3:F24,F24))</f>
        <v>매도가능증권|1</v>
      </c>
    </row>
    <row r="25" customFormat="false" ht="12" hidden="false" customHeight="true" outlineLevel="0" collapsed="false">
      <c r="A25" s="141" t="s">
        <v>84</v>
      </c>
      <c r="B25" s="140"/>
      <c r="C25" s="140" t="s">
        <v>258</v>
      </c>
      <c r="D25" s="140"/>
      <c r="E25" s="140" t="s">
        <v>259</v>
      </c>
      <c r="F25" s="0" t="str">
        <f aca="false">IF(A25="","",SUBSTITUTE(A25," ",""))</f>
        <v>(2)유형자산</v>
      </c>
      <c r="G25" s="0" t="str">
        <f aca="false">IF(A25="","",F25&amp;"|"&amp;COUNTIF($F$3:F25,F25))</f>
        <v>(2)유형자산|1</v>
      </c>
    </row>
    <row r="26" customFormat="false" ht="12" hidden="false" customHeight="true" outlineLevel="0" collapsed="false">
      <c r="A26" s="139" t="s">
        <v>85</v>
      </c>
      <c r="B26" s="140"/>
      <c r="C26" s="140" t="s">
        <v>260</v>
      </c>
      <c r="D26" s="140"/>
      <c r="E26" s="140" t="s">
        <v>260</v>
      </c>
      <c r="F26" s="0" t="str">
        <f aca="false">IF(A26="","",SUBSTITUTE(A26," ",""))</f>
        <v>토지</v>
      </c>
      <c r="G26" s="0" t="str">
        <f aca="false">IF(A26="","",F26&amp;"|"&amp;COUNTIF($F$3:F26,F26))</f>
        <v>토지|1</v>
      </c>
    </row>
    <row r="27" customFormat="false" ht="12" hidden="false" customHeight="true" outlineLevel="0" collapsed="false">
      <c r="A27" s="142" t="s">
        <v>86</v>
      </c>
      <c r="B27" s="140" t="s">
        <v>261</v>
      </c>
      <c r="C27" s="140"/>
      <c r="D27" s="140" t="s">
        <v>261</v>
      </c>
      <c r="E27" s="140"/>
      <c r="F27" s="0" t="str">
        <f aca="false">IF(A27="","",SUBSTITUTE(A27," ",""))</f>
        <v>건물</v>
      </c>
      <c r="G27" s="0" t="str">
        <f aca="false">IF(A27="","",F27&amp;"|"&amp;COUNTIF($F$3:F27,F27))</f>
        <v>건물|1</v>
      </c>
    </row>
    <row r="28" customFormat="false" ht="12" hidden="false" customHeight="true" outlineLevel="0" collapsed="false">
      <c r="A28" s="139" t="s">
        <v>87</v>
      </c>
      <c r="B28" s="140" t="s">
        <v>262</v>
      </c>
      <c r="C28" s="140" t="s">
        <v>263</v>
      </c>
      <c r="D28" s="140" t="s">
        <v>264</v>
      </c>
      <c r="E28" s="140" t="s">
        <v>265</v>
      </c>
      <c r="F28" s="0" t="str">
        <f aca="false">IF(A28="","",SUBSTITUTE(A28," ",""))</f>
        <v>감가상각누계액</v>
      </c>
      <c r="G28" s="0" t="str">
        <f aca="false">IF(A28="","",F28&amp;"|"&amp;COUNTIF($F$3:F28,F28))</f>
        <v>감가상각누계액|1</v>
      </c>
    </row>
    <row r="29" customFormat="false" ht="12" hidden="false" customHeight="true" outlineLevel="0" collapsed="false">
      <c r="A29" s="139" t="s">
        <v>88</v>
      </c>
      <c r="B29" s="140" t="s">
        <v>266</v>
      </c>
      <c r="C29" s="140"/>
      <c r="D29" s="140" t="s">
        <v>266</v>
      </c>
      <c r="E29" s="140"/>
      <c r="F29" s="0" t="str">
        <f aca="false">IF(A29="","",SUBSTITUTE(A29," ",""))</f>
        <v>기계장치</v>
      </c>
      <c r="G29" s="0" t="str">
        <f aca="false">IF(A29="","",F29&amp;"|"&amp;COUNTIF($F$3:F29,F29))</f>
        <v>기계장치|1</v>
      </c>
    </row>
    <row r="30" customFormat="false" ht="12" hidden="false" customHeight="true" outlineLevel="0" collapsed="false">
      <c r="A30" s="139" t="s">
        <v>87</v>
      </c>
      <c r="B30" s="140" t="s">
        <v>267</v>
      </c>
      <c r="C30" s="140" t="s">
        <v>268</v>
      </c>
      <c r="D30" s="140" t="s">
        <v>267</v>
      </c>
      <c r="E30" s="140" t="s">
        <v>268</v>
      </c>
      <c r="F30" s="0" t="str">
        <f aca="false">IF(A30="","",SUBSTITUTE(A30," ",""))</f>
        <v>감가상각누계액</v>
      </c>
      <c r="G30" s="0" t="str">
        <f aca="false">IF(A30="","",F30&amp;"|"&amp;COUNTIF($F$3:F30,F30))</f>
        <v>감가상각누계액|2</v>
      </c>
    </row>
    <row r="31" customFormat="false" ht="12" hidden="false" customHeight="true" outlineLevel="0" collapsed="false">
      <c r="A31" s="139" t="s">
        <v>89</v>
      </c>
      <c r="B31" s="140" t="s">
        <v>269</v>
      </c>
      <c r="C31" s="140"/>
      <c r="D31" s="140" t="s">
        <v>270</v>
      </c>
      <c r="E31" s="140"/>
      <c r="F31" s="0" t="str">
        <f aca="false">IF(A31="","",SUBSTITUTE(A31," ",""))</f>
        <v>차량운반구</v>
      </c>
      <c r="G31" s="0" t="str">
        <f aca="false">IF(A31="","",F31&amp;"|"&amp;COUNTIF($F$3:F31,F31))</f>
        <v>차량운반구|1</v>
      </c>
    </row>
    <row r="32" customFormat="false" ht="12" hidden="false" customHeight="true" outlineLevel="0" collapsed="false">
      <c r="A32" s="139" t="s">
        <v>87</v>
      </c>
      <c r="B32" s="140" t="s">
        <v>271</v>
      </c>
      <c r="C32" s="140" t="s">
        <v>272</v>
      </c>
      <c r="D32" s="140" t="s">
        <v>273</v>
      </c>
      <c r="E32" s="140" t="s">
        <v>274</v>
      </c>
      <c r="F32" s="0" t="str">
        <f aca="false">IF(A32="","",SUBSTITUTE(A32," ",""))</f>
        <v>감가상각누계액</v>
      </c>
      <c r="G32" s="0" t="str">
        <f aca="false">IF(A32="","",F32&amp;"|"&amp;COUNTIF($F$3:F32,F32))</f>
        <v>감가상각누계액|3</v>
      </c>
    </row>
    <row r="33" customFormat="false" ht="12" hidden="false" customHeight="true" outlineLevel="0" collapsed="false">
      <c r="A33" s="139" t="s">
        <v>90</v>
      </c>
      <c r="B33" s="140" t="s">
        <v>275</v>
      </c>
      <c r="C33" s="140"/>
      <c r="D33" s="140" t="s">
        <v>275</v>
      </c>
      <c r="E33" s="140"/>
      <c r="F33" s="0" t="str">
        <f aca="false">IF(A33="","",SUBSTITUTE(A33," ",""))</f>
        <v>비품</v>
      </c>
      <c r="G33" s="0" t="str">
        <f aca="false">IF(A33="","",F33&amp;"|"&amp;COUNTIF($F$3:F33,F33))</f>
        <v>비품|1</v>
      </c>
    </row>
    <row r="34" customFormat="false" ht="12" hidden="false" customHeight="true" outlineLevel="0" collapsed="false">
      <c r="A34" s="139" t="s">
        <v>87</v>
      </c>
      <c r="B34" s="140" t="s">
        <v>276</v>
      </c>
      <c r="C34" s="140" t="s">
        <v>277</v>
      </c>
      <c r="D34" s="140" t="s">
        <v>278</v>
      </c>
      <c r="E34" s="140" t="s">
        <v>279</v>
      </c>
      <c r="F34" s="0" t="str">
        <f aca="false">IF(A34="","",SUBSTITUTE(A34," ",""))</f>
        <v>감가상각누계액</v>
      </c>
      <c r="G34" s="0" t="str">
        <f aca="false">IF(A34="","",F34&amp;"|"&amp;COUNTIF($F$3:F34,F34))</f>
        <v>감가상각누계액|4</v>
      </c>
    </row>
    <row r="35" customFormat="false" ht="12" hidden="false" customHeight="true" outlineLevel="0" collapsed="false">
      <c r="A35" s="139" t="s">
        <v>280</v>
      </c>
      <c r="B35" s="140"/>
      <c r="C35" s="140"/>
      <c r="D35" s="140"/>
      <c r="E35" s="140"/>
      <c r="F35" s="0" t="str">
        <f aca="false">IF(A35="","",SUBSTITUTE(A35," ",""))</f>
        <v>(3)무형자산</v>
      </c>
      <c r="G35" s="0" t="str">
        <f aca="false">IF(A35="","",F35&amp;"|"&amp;COUNTIF($F$3:F35,F35))</f>
        <v>(3)무형자산|1</v>
      </c>
    </row>
    <row r="36" customFormat="false" ht="12" hidden="false" customHeight="true" outlineLevel="0" collapsed="false">
      <c r="A36" s="139" t="s">
        <v>281</v>
      </c>
      <c r="B36" s="140"/>
      <c r="C36" s="140" t="s">
        <v>282</v>
      </c>
      <c r="D36" s="140"/>
      <c r="E36" s="140" t="s">
        <v>282</v>
      </c>
      <c r="F36" s="0" t="str">
        <f aca="false">IF(A36="","",SUBSTITUTE(A36," ",""))</f>
        <v>(4)기타비유동자산</v>
      </c>
      <c r="G36" s="0" t="str">
        <f aca="false">IF(A36="","",F36&amp;"|"&amp;COUNTIF($F$3:F36,F36))</f>
        <v>(4)기타비유동자산|1</v>
      </c>
    </row>
    <row r="37" customFormat="false" ht="12" hidden="false" customHeight="true" outlineLevel="0" collapsed="false">
      <c r="A37" s="142" t="s">
        <v>94</v>
      </c>
      <c r="B37" s="140"/>
      <c r="C37" s="140" t="s">
        <v>283</v>
      </c>
      <c r="D37" s="140"/>
      <c r="E37" s="140" t="s">
        <v>283</v>
      </c>
      <c r="F37" s="0" t="str">
        <f aca="false">IF(A37="","",SUBSTITUTE(A37," ",""))</f>
        <v>임차보증금</v>
      </c>
      <c r="G37" s="0" t="str">
        <f aca="false">IF(A37="","",F37&amp;"|"&amp;COUNTIF($F$3:F37,F37))</f>
        <v>임차보증금|1</v>
      </c>
    </row>
    <row r="38" customFormat="false" ht="12" hidden="false" customHeight="true" outlineLevel="0" collapsed="false">
      <c r="A38" s="142" t="s">
        <v>96</v>
      </c>
      <c r="B38" s="140"/>
      <c r="C38" s="140" t="s">
        <v>284</v>
      </c>
      <c r="D38" s="140"/>
      <c r="E38" s="140" t="s">
        <v>284</v>
      </c>
      <c r="F38" s="0" t="str">
        <f aca="false">IF(A38="","",SUBSTITUTE(A38," ",""))</f>
        <v>기타보증금</v>
      </c>
      <c r="G38" s="0" t="str">
        <f aca="false">IF(A38="","",F38&amp;"|"&amp;COUNTIF($F$3:F38,F38))</f>
        <v>기타보증금|1</v>
      </c>
    </row>
    <row r="39" customFormat="false" ht="14.15" hidden="false" customHeight="false" outlineLevel="0" collapsed="false">
      <c r="A39" s="142" t="s">
        <v>98</v>
      </c>
      <c r="B39" s="140"/>
      <c r="C39" s="140" t="s">
        <v>285</v>
      </c>
      <c r="D39" s="140"/>
      <c r="E39" s="140" t="s">
        <v>285</v>
      </c>
      <c r="F39" s="0" t="str">
        <f aca="false">IF(A39="","",SUBSTITUTE(A39," ",""))</f>
        <v>전신전화가입권</v>
      </c>
      <c r="G39" s="0" t="str">
        <f aca="false">IF(A39="","",F39&amp;"|"&amp;COUNTIF($F$3:F39,F39))</f>
        <v>전신전화가입권|1</v>
      </c>
    </row>
    <row r="40" customFormat="false" ht="14.15" hidden="false" customHeight="false" outlineLevel="0" collapsed="false">
      <c r="A40" s="142" t="s">
        <v>99</v>
      </c>
      <c r="B40" s="140"/>
      <c r="C40" s="140" t="s">
        <v>286</v>
      </c>
      <c r="D40" s="140"/>
      <c r="E40" s="140" t="s">
        <v>287</v>
      </c>
      <c r="F40" s="0" t="str">
        <f aca="false">IF(A40="","",SUBSTITUTE(A40," ",""))</f>
        <v>자산총계</v>
      </c>
      <c r="G40" s="0" t="str">
        <f aca="false">IF(A40="","",F40&amp;"|"&amp;COUNTIF($F$3:F40,F40))</f>
        <v>자산총계|1</v>
      </c>
    </row>
    <row r="41" customFormat="false" ht="12" hidden="false" customHeight="true" outlineLevel="0" collapsed="false">
      <c r="A41" s="139" t="s">
        <v>100</v>
      </c>
      <c r="B41" s="140"/>
      <c r="C41" s="140"/>
      <c r="D41" s="140"/>
      <c r="E41" s="140"/>
      <c r="F41" s="0" t="str">
        <f aca="false">IF(A41="","",SUBSTITUTE(A41," ",""))</f>
        <v>부채</v>
      </c>
      <c r="G41" s="0" t="str">
        <f aca="false">IF(A41="","",F41&amp;"|"&amp;COUNTIF($F$3:F41,F41))</f>
        <v>부채|1</v>
      </c>
    </row>
    <row r="42" customFormat="false" ht="12" hidden="false" customHeight="true" outlineLevel="0" collapsed="false">
      <c r="A42" s="139" t="s">
        <v>288</v>
      </c>
      <c r="B42" s="140"/>
      <c r="C42" s="140" t="s">
        <v>289</v>
      </c>
      <c r="D42" s="140"/>
      <c r="E42" s="140" t="s">
        <v>290</v>
      </c>
      <c r="F42" s="0" t="str">
        <f aca="false">IF(A42="","",SUBSTITUTE(A42," ",""))</f>
        <v>Ⅰ.유동부채</v>
      </c>
      <c r="G42" s="0" t="str">
        <f aca="false">IF(A42="","",F42&amp;"|"&amp;COUNTIF($F$3:F42,F42))</f>
        <v>Ⅰ.유동부채|1</v>
      </c>
    </row>
    <row r="43" customFormat="false" ht="12" hidden="false" customHeight="true" outlineLevel="0" collapsed="false">
      <c r="A43" s="139" t="s">
        <v>102</v>
      </c>
      <c r="B43" s="140"/>
      <c r="C43" s="140" t="s">
        <v>291</v>
      </c>
      <c r="D43" s="140"/>
      <c r="E43" s="140" t="s">
        <v>292</v>
      </c>
      <c r="F43" s="0" t="str">
        <f aca="false">IF(A43="","",SUBSTITUTE(A43," ",""))</f>
        <v>외상매입금</v>
      </c>
      <c r="G43" s="0" t="str">
        <f aca="false">IF(A43="","",F43&amp;"|"&amp;COUNTIF($F$3:F43,F43))</f>
        <v>외상매입금|1</v>
      </c>
    </row>
    <row r="44" customFormat="false" ht="12" hidden="false" customHeight="true" outlineLevel="0" collapsed="false">
      <c r="A44" s="139" t="s">
        <v>103</v>
      </c>
      <c r="B44" s="140"/>
      <c r="C44" s="140" t="s">
        <v>293</v>
      </c>
      <c r="D44" s="140"/>
      <c r="E44" s="140" t="s">
        <v>294</v>
      </c>
      <c r="F44" s="0" t="str">
        <f aca="false">IF(A44="","",SUBSTITUTE(A44," ",""))</f>
        <v>미지급금</v>
      </c>
      <c r="G44" s="0" t="str">
        <f aca="false">IF(A44="","",F44&amp;"|"&amp;COUNTIF($F$3:F44,F44))</f>
        <v>미지급금|1</v>
      </c>
    </row>
    <row r="45" customFormat="false" ht="12" hidden="false" customHeight="true" outlineLevel="0" collapsed="false">
      <c r="A45" s="139" t="s">
        <v>104</v>
      </c>
      <c r="B45" s="140"/>
      <c r="C45" s="140" t="s">
        <v>295</v>
      </c>
      <c r="D45" s="140"/>
      <c r="E45" s="140" t="s">
        <v>296</v>
      </c>
      <c r="F45" s="0" t="str">
        <f aca="false">IF(A45="","",SUBSTITUTE(A45," ",""))</f>
        <v>예수금</v>
      </c>
      <c r="G45" s="0" t="str">
        <f aca="false">IF(A45="","",F45&amp;"|"&amp;COUNTIF($F$3:F45,F45))</f>
        <v>예수금|1</v>
      </c>
    </row>
    <row r="46" customFormat="false" ht="12" hidden="false" customHeight="true" outlineLevel="0" collapsed="false">
      <c r="A46" s="142" t="s">
        <v>107</v>
      </c>
      <c r="B46" s="140"/>
      <c r="C46" s="140" t="s">
        <v>297</v>
      </c>
      <c r="D46" s="140"/>
      <c r="E46" s="140"/>
      <c r="F46" s="0" t="str">
        <f aca="false">IF(A46="","",SUBSTITUTE(A46," ",""))</f>
        <v>가수금</v>
      </c>
      <c r="G46" s="0" t="str">
        <f aca="false">IF(A46="","",F46&amp;"|"&amp;COUNTIF($F$3:F46,F46))</f>
        <v>가수금|1</v>
      </c>
    </row>
    <row r="47" customFormat="false" ht="12" hidden="false" customHeight="true" outlineLevel="0" collapsed="false">
      <c r="A47" s="139" t="s">
        <v>109</v>
      </c>
      <c r="B47" s="140"/>
      <c r="C47" s="140" t="s">
        <v>298</v>
      </c>
      <c r="D47" s="140"/>
      <c r="E47" s="140" t="s">
        <v>298</v>
      </c>
      <c r="F47" s="0" t="str">
        <f aca="false">IF(A47="","",SUBSTITUTE(A47," ",""))</f>
        <v>선수금</v>
      </c>
      <c r="G47" s="0" t="str">
        <f aca="false">IF(A47="","",F47&amp;"|"&amp;COUNTIF($F$3:F47,F47))</f>
        <v>선수금|1</v>
      </c>
    </row>
    <row r="48" customFormat="false" ht="12" hidden="false" customHeight="true" outlineLevel="0" collapsed="false">
      <c r="A48" s="139" t="s">
        <v>110</v>
      </c>
      <c r="B48" s="140"/>
      <c r="C48" s="140"/>
      <c r="D48" s="140"/>
      <c r="E48" s="140" t="s">
        <v>299</v>
      </c>
      <c r="F48" s="0" t="str">
        <f aca="false">IF(A48="","",SUBSTITUTE(A48," ",""))</f>
        <v>미지급세금</v>
      </c>
      <c r="G48" s="0" t="str">
        <f aca="false">IF(A48="","",F48&amp;"|"&amp;COUNTIF($F$3:F48,F48))</f>
        <v>미지급세금|1</v>
      </c>
    </row>
    <row r="49" customFormat="false" ht="12" hidden="false" customHeight="true" outlineLevel="0" collapsed="false">
      <c r="A49" s="139" t="s">
        <v>111</v>
      </c>
      <c r="B49" s="140"/>
      <c r="C49" s="140" t="s">
        <v>300</v>
      </c>
      <c r="D49" s="140"/>
      <c r="E49" s="140" t="s">
        <v>301</v>
      </c>
      <c r="F49" s="0" t="str">
        <f aca="false">IF(A49="","",SUBSTITUTE(A49," ",""))</f>
        <v>미지급비용</v>
      </c>
      <c r="G49" s="0" t="str">
        <f aca="false">IF(A49="","",F49&amp;"|"&amp;COUNTIF($F$3:F49,F49))</f>
        <v>미지급비용|1</v>
      </c>
    </row>
    <row r="50" customFormat="false" ht="14.15" hidden="false" customHeight="false" outlineLevel="0" collapsed="false">
      <c r="A50" s="141" t="s">
        <v>302</v>
      </c>
      <c r="B50" s="140"/>
      <c r="C50" s="140" t="s">
        <v>303</v>
      </c>
      <c r="D50" s="140"/>
      <c r="E50" s="140" t="s">
        <v>304</v>
      </c>
      <c r="F50" s="0" t="str">
        <f aca="false">IF(A50="","",SUBSTITUTE(A50," ",""))</f>
        <v>Ⅱ.비유동부채</v>
      </c>
      <c r="G50" s="0" t="str">
        <f aca="false">IF(A50="","",F50&amp;"|"&amp;COUNTIF($F$3:F50,F50))</f>
        <v>Ⅱ.비유동부채|1</v>
      </c>
    </row>
    <row r="51" customFormat="false" ht="12" hidden="false" customHeight="true" outlineLevel="0" collapsed="false">
      <c r="A51" s="139" t="s">
        <v>115</v>
      </c>
      <c r="B51" s="140"/>
      <c r="C51" s="140"/>
      <c r="D51" s="140"/>
      <c r="E51" s="140" t="s">
        <v>305</v>
      </c>
      <c r="F51" s="0" t="str">
        <f aca="false">IF(A51="","",SUBSTITUTE(A51," ",""))</f>
        <v>퇴직급여충당금</v>
      </c>
      <c r="G51" s="0" t="str">
        <f aca="false">IF(A51="","",F51&amp;"|"&amp;COUNTIF($F$3:F51,F51))</f>
        <v>퇴직급여충당금|1</v>
      </c>
    </row>
    <row r="52" customFormat="false" ht="12" hidden="false" customHeight="true" outlineLevel="0" collapsed="false">
      <c r="A52" s="139" t="s">
        <v>116</v>
      </c>
      <c r="B52" s="140"/>
      <c r="C52" s="140" t="s">
        <v>303</v>
      </c>
      <c r="D52" s="140"/>
      <c r="E52" s="140" t="s">
        <v>303</v>
      </c>
      <c r="F52" s="0" t="str">
        <f aca="false">IF(A52="","",SUBSTITUTE(A52," ",""))</f>
        <v>국민연금전환금</v>
      </c>
      <c r="G52" s="0" t="str">
        <f aca="false">IF(A52="","",F52&amp;"|"&amp;COUNTIF($F$3:F52,F52))</f>
        <v>국민연금전환금|1</v>
      </c>
    </row>
    <row r="53" customFormat="false" ht="12" hidden="false" customHeight="true" outlineLevel="0" collapsed="false">
      <c r="A53" s="139" t="s">
        <v>117</v>
      </c>
      <c r="B53" s="140"/>
      <c r="C53" s="140" t="s">
        <v>306</v>
      </c>
      <c r="D53" s="140"/>
      <c r="E53" s="140" t="s">
        <v>307</v>
      </c>
      <c r="F53" s="0" t="str">
        <f aca="false">IF(A53="","",SUBSTITUTE(A53," ",""))</f>
        <v>부채총계</v>
      </c>
      <c r="G53" s="0" t="str">
        <f aca="false">IF(A53="","",F53&amp;"|"&amp;COUNTIF($F$3:F53,F53))</f>
        <v>부채총계|1</v>
      </c>
    </row>
    <row r="54" customFormat="false" ht="12" hidden="false" customHeight="true" outlineLevel="0" collapsed="false">
      <c r="A54" s="139" t="s">
        <v>118</v>
      </c>
      <c r="B54" s="140"/>
      <c r="C54" s="140"/>
      <c r="D54" s="140"/>
      <c r="E54" s="140"/>
      <c r="F54" s="0" t="str">
        <f aca="false">IF(A54="","",SUBSTITUTE(A54," ",""))</f>
        <v>자본</v>
      </c>
      <c r="G54" s="0" t="str">
        <f aca="false">IF(A54="","",F54&amp;"|"&amp;COUNTIF($F$3:F54,F54))</f>
        <v>자본|1</v>
      </c>
    </row>
    <row r="55" customFormat="false" ht="14.15" hidden="false" customHeight="false" outlineLevel="0" collapsed="false">
      <c r="A55" s="141" t="s">
        <v>308</v>
      </c>
      <c r="B55" s="140"/>
      <c r="C55" s="140" t="s">
        <v>309</v>
      </c>
      <c r="D55" s="140"/>
      <c r="E55" s="140" t="s">
        <v>309</v>
      </c>
      <c r="F55" s="0" t="str">
        <f aca="false">IF(A55="","",SUBSTITUTE(A55," ",""))</f>
        <v>Ⅰ.자본금</v>
      </c>
      <c r="G55" s="0" t="str">
        <f aca="false">IF(A55="","",F55&amp;"|"&amp;COUNTIF($F$3:F55,F55))</f>
        <v>Ⅰ.자본금|1</v>
      </c>
    </row>
    <row r="56" customFormat="false" ht="12" hidden="false" customHeight="true" outlineLevel="0" collapsed="false">
      <c r="A56" s="142" t="s">
        <v>120</v>
      </c>
      <c r="B56" s="140"/>
      <c r="C56" s="140" t="s">
        <v>309</v>
      </c>
      <c r="D56" s="140"/>
      <c r="E56" s="140" t="s">
        <v>309</v>
      </c>
      <c r="F56" s="0" t="str">
        <f aca="false">IF(A56="","",SUBSTITUTE(A56," ",""))</f>
        <v>자본금</v>
      </c>
      <c r="G56" s="0" t="str">
        <f aca="false">IF(A56="","",F56&amp;"|"&amp;COUNTIF($F$3:F56,F56))</f>
        <v>자본금|1</v>
      </c>
    </row>
    <row r="57" customFormat="false" ht="12" hidden="false" customHeight="true" outlineLevel="0" collapsed="false">
      <c r="A57" s="139" t="s">
        <v>310</v>
      </c>
      <c r="B57" s="140"/>
      <c r="C57" s="140" t="s">
        <v>311</v>
      </c>
      <c r="D57" s="140"/>
      <c r="E57" s="140" t="s">
        <v>311</v>
      </c>
      <c r="F57" s="0" t="str">
        <f aca="false">IF(A57="","",SUBSTITUTE(A57," ",""))</f>
        <v>Ⅱ.자본잉여금</v>
      </c>
      <c r="G57" s="0" t="str">
        <f aca="false">IF(A57="","",F57&amp;"|"&amp;COUNTIF($F$3:F57,F57))</f>
        <v>Ⅱ.자본잉여금|1</v>
      </c>
    </row>
    <row r="58" customFormat="false" ht="12" hidden="false" customHeight="true" outlineLevel="0" collapsed="false">
      <c r="A58" s="139" t="s">
        <v>122</v>
      </c>
      <c r="B58" s="140"/>
      <c r="C58" s="140" t="s">
        <v>311</v>
      </c>
      <c r="D58" s="140"/>
      <c r="E58" s="140" t="s">
        <v>311</v>
      </c>
      <c r="F58" s="0" t="str">
        <f aca="false">IF(A58="","",SUBSTITUTE(A58," ",""))</f>
        <v>주식발행초과금</v>
      </c>
      <c r="G58" s="0" t="str">
        <f aca="false">IF(A58="","",F58&amp;"|"&amp;COUNTIF($F$3:F58,F58))</f>
        <v>주식발행초과금|1</v>
      </c>
    </row>
    <row r="59" customFormat="false" ht="12" hidden="false" customHeight="true" outlineLevel="0" collapsed="false">
      <c r="A59" s="139" t="s">
        <v>312</v>
      </c>
      <c r="B59" s="140"/>
      <c r="C59" s="140"/>
      <c r="D59" s="140"/>
      <c r="E59" s="140"/>
      <c r="F59" s="0" t="str">
        <f aca="false">IF(A59="","",SUBSTITUTE(A59," ",""))</f>
        <v>Ⅲ.자본조정</v>
      </c>
      <c r="G59" s="0" t="str">
        <f aca="false">IF(A59="","",F59&amp;"|"&amp;COUNTIF($F$3:F59,F59))</f>
        <v>Ⅲ.자본조정|1</v>
      </c>
    </row>
    <row r="60" customFormat="false" ht="12" hidden="false" customHeight="true" outlineLevel="0" collapsed="false">
      <c r="A60" s="139" t="s">
        <v>313</v>
      </c>
      <c r="B60" s="140"/>
      <c r="C60" s="140"/>
      <c r="D60" s="140"/>
      <c r="E60" s="140"/>
      <c r="F60" s="0" t="str">
        <f aca="false">IF(A60="","",SUBSTITUTE(A60," ",""))</f>
        <v>Ⅳ.기타포괄손익누계액</v>
      </c>
      <c r="G60" s="0" t="str">
        <f aca="false">IF(A60="","",F60&amp;"|"&amp;COUNTIF($F$3:F60,F60))</f>
        <v>Ⅳ.기타포괄손익누계액|1</v>
      </c>
    </row>
    <row r="61" customFormat="false" ht="12" hidden="false" customHeight="true" outlineLevel="0" collapsed="false">
      <c r="A61" s="141" t="s">
        <v>314</v>
      </c>
      <c r="B61" s="140"/>
      <c r="C61" s="140" t="s">
        <v>315</v>
      </c>
      <c r="D61" s="140"/>
      <c r="E61" s="140" t="s">
        <v>316</v>
      </c>
      <c r="F61" s="0" t="str">
        <f aca="false">IF(A61="","",SUBSTITUTE(A61," ",""))</f>
        <v>Ⅴ.이익잉여금</v>
      </c>
      <c r="G61" s="0" t="str">
        <f aca="false">IF(A61="","",F61&amp;"|"&amp;COUNTIF($F$3:F61,F61))</f>
        <v>Ⅴ.이익잉여금|1</v>
      </c>
    </row>
    <row r="62" customFormat="false" ht="12" hidden="false" customHeight="true" outlineLevel="0" collapsed="false">
      <c r="A62" s="139" t="s">
        <v>126</v>
      </c>
      <c r="B62" s="140"/>
      <c r="C62" s="140" t="s">
        <v>317</v>
      </c>
      <c r="D62" s="140"/>
      <c r="E62" s="140" t="s">
        <v>318</v>
      </c>
      <c r="F62" s="0" t="str">
        <f aca="false">IF(A62="","",SUBSTITUTE(A62," ",""))</f>
        <v>이익준비금</v>
      </c>
      <c r="G62" s="0" t="str">
        <f aca="false">IF(A62="","",F62&amp;"|"&amp;COUNTIF($F$3:F62,F62))</f>
        <v>이익준비금|1</v>
      </c>
    </row>
    <row r="63" customFormat="false" ht="12" hidden="false" customHeight="true" outlineLevel="0" collapsed="false">
      <c r="A63" s="142" t="s">
        <v>127</v>
      </c>
      <c r="B63" s="140"/>
      <c r="C63" s="140" t="s">
        <v>319</v>
      </c>
      <c r="D63" s="140"/>
      <c r="E63" s="140" t="s">
        <v>320</v>
      </c>
      <c r="F63" s="0" t="str">
        <f aca="false">IF(A63="","",SUBSTITUTE(A63," ",""))</f>
        <v>미처분이익잉여금</v>
      </c>
      <c r="G63" s="0" t="str">
        <f aca="false">IF(A63="","",F63&amp;"|"&amp;COUNTIF($F$3:F63,F63))</f>
        <v>미처분이익잉여금|1</v>
      </c>
    </row>
    <row r="64" customFormat="false" ht="12" hidden="false" customHeight="true" outlineLevel="0" collapsed="false">
      <c r="A64" s="139" t="s">
        <v>321</v>
      </c>
      <c r="B64" s="140"/>
      <c r="C64" s="140"/>
      <c r="D64" s="140"/>
      <c r="E64" s="140"/>
      <c r="F64" s="0" t="str">
        <f aca="false">IF(A64="","",SUBSTITUTE(A64," ",""))</f>
        <v>(당기순이익)</v>
      </c>
      <c r="G64" s="0" t="str">
        <f aca="false">IF(A64="","",F64&amp;"|"&amp;COUNTIF($F$3:F64,F64))</f>
        <v>(당기순이익)|1</v>
      </c>
    </row>
    <row r="65" customFormat="false" ht="12" hidden="false" customHeight="true" outlineLevel="0" collapsed="false">
      <c r="A65" s="142" t="s">
        <v>322</v>
      </c>
      <c r="B65" s="140"/>
      <c r="C65" s="140"/>
      <c r="D65" s="140"/>
      <c r="E65" s="140"/>
      <c r="F65" s="0" t="str">
        <f aca="false">IF(A65="","",SUBSTITUTE(A65," ",""))</f>
        <v>당기:1,676,834,247</v>
      </c>
      <c r="G65" s="0" t="str">
        <f aca="false">IF(A65="","",F65&amp;"|"&amp;COUNTIF($F$3:F65,F65))</f>
        <v>당기:1,676,834,247|1</v>
      </c>
    </row>
    <row r="66" customFormat="false" ht="12" hidden="false" customHeight="true" outlineLevel="0" collapsed="false">
      <c r="A66" s="142" t="s">
        <v>323</v>
      </c>
      <c r="B66" s="140"/>
      <c r="C66" s="140"/>
      <c r="D66" s="140"/>
      <c r="E66" s="140"/>
      <c r="F66" s="0" t="str">
        <f aca="false">IF(A66="","",SUBSTITUTE(A66," ",""))</f>
        <v>전기:1,412,482,819</v>
      </c>
      <c r="G66" s="0" t="str">
        <f aca="false">IF(A66="","",F66&amp;"|"&amp;COUNTIF($F$3:F66,F66))</f>
        <v>전기:1,412,482,819|1</v>
      </c>
    </row>
    <row r="67" customFormat="false" ht="12" hidden="false" customHeight="true" outlineLevel="0" collapsed="false">
      <c r="A67" s="142" t="s">
        <v>129</v>
      </c>
      <c r="B67" s="140"/>
      <c r="C67" s="140" t="s">
        <v>324</v>
      </c>
      <c r="D67" s="140"/>
      <c r="E67" s="140" t="s">
        <v>325</v>
      </c>
      <c r="F67" s="0" t="str">
        <f aca="false">IF(A67="","",SUBSTITUTE(A67," ",""))</f>
        <v>자본총계</v>
      </c>
      <c r="G67" s="0" t="str">
        <f aca="false">IF(A67="","",F67&amp;"|"&amp;COUNTIF($F$3:F67,F67))</f>
        <v>자본총계|1</v>
      </c>
    </row>
    <row r="68" customFormat="false" ht="12" hidden="false" customHeight="true" outlineLevel="0" collapsed="false">
      <c r="A68" s="139" t="s">
        <v>130</v>
      </c>
      <c r="B68" s="140"/>
      <c r="C68" s="140" t="s">
        <v>286</v>
      </c>
      <c r="D68" s="140"/>
      <c r="E68" s="140" t="s">
        <v>287</v>
      </c>
      <c r="F68" s="0" t="str">
        <f aca="false">IF(A68="","",SUBSTITUTE(A68," ",""))</f>
        <v>부채및자본총계</v>
      </c>
      <c r="G68" s="0" t="str">
        <f aca="false">IF(A68="","",F68&amp;"|"&amp;COUNTIF($F$3:F68,F68))</f>
        <v>부채및자본총계|1</v>
      </c>
    </row>
    <row r="69" customFormat="false" ht="12" hidden="false" customHeight="true" outlineLevel="0" collapsed="false">
      <c r="A69" s="139"/>
      <c r="B69" s="140"/>
      <c r="C69" s="140"/>
      <c r="D69" s="140"/>
      <c r="E69" s="140"/>
    </row>
    <row r="70" customFormat="false" ht="12" hidden="false" customHeight="true" outlineLevel="0" collapsed="false">
      <c r="A70" s="141"/>
      <c r="B70" s="140"/>
      <c r="C70" s="140"/>
      <c r="D70" s="140"/>
      <c r="E70" s="140"/>
    </row>
    <row r="71" customFormat="false" ht="12" hidden="false" customHeight="true" outlineLevel="0" collapsed="false">
      <c r="A71" s="139"/>
      <c r="B71" s="140"/>
      <c r="C71" s="140"/>
      <c r="D71" s="140"/>
      <c r="E71" s="140"/>
    </row>
    <row r="72" customFormat="false" ht="12" hidden="false" customHeight="true" outlineLevel="0" collapsed="false">
      <c r="A72" s="139"/>
      <c r="B72" s="140"/>
      <c r="C72" s="140"/>
      <c r="D72" s="140"/>
      <c r="E72" s="140"/>
    </row>
    <row r="73" customFormat="false" ht="12" hidden="false" customHeight="true" outlineLevel="0" collapsed="false">
      <c r="A73" s="139"/>
      <c r="B73" s="140"/>
      <c r="C73" s="140"/>
      <c r="D73" s="140"/>
      <c r="E73" s="140"/>
    </row>
    <row r="74" customFormat="false" ht="12" hidden="false" customHeight="true" outlineLevel="0" collapsed="false">
      <c r="A74" s="139"/>
      <c r="B74" s="140"/>
      <c r="C74" s="140"/>
      <c r="D74" s="140"/>
      <c r="E74" s="140"/>
    </row>
    <row r="75" customFormat="false" ht="11.25" hidden="false" customHeight="true" outlineLevel="0" collapsed="false"/>
    <row r="76" customFormat="false" ht="11.25" hidden="false" customHeight="true" outlineLevel="0" collapsed="false"/>
    <row r="77" customFormat="false" ht="11.25" hidden="false" customHeight="true" outlineLevel="0" collapsed="false"/>
    <row r="78" customFormat="false" ht="11.25" hidden="false" customHeight="true" outlineLevel="0" collapsed="false"/>
    <row r="79" customFormat="false" ht="11.25" hidden="false" customHeight="true" outlineLevel="0" collapsed="false"/>
    <row r="80" customFormat="false" ht="11.25" hidden="false" customHeight="true" outlineLevel="0" collapsed="false"/>
    <row r="81" customFormat="false" ht="11.25" hidden="false" customHeight="true" outlineLevel="0" collapsed="false"/>
    <row r="82" customFormat="false" ht="11.25" hidden="false" customHeight="true" outlineLevel="0" collapsed="false"/>
    <row r="83" customFormat="false" ht="11.25" hidden="false" customHeight="true" outlineLevel="0" collapsed="false"/>
    <row r="84" customFormat="false" ht="11.25" hidden="false" customHeight="true" outlineLevel="0" collapsed="false"/>
    <row r="85" customFormat="false" ht="11.25" hidden="false" customHeight="true" outlineLevel="0" collapsed="false"/>
    <row r="86" customFormat="false" ht="11.25" hidden="false" customHeight="true" outlineLevel="0" collapsed="false"/>
    <row r="87" customFormat="false" ht="11.25" hidden="false" customHeight="true" outlineLevel="0" collapsed="false"/>
    <row r="88" customFormat="false" ht="11.25" hidden="false" customHeight="true" outlineLevel="0" collapsed="false"/>
    <row r="89" customFormat="false" ht="11.25" hidden="false" customHeight="true" outlineLevel="0" collapsed="false"/>
    <row r="90" customFormat="false" ht="11.25" hidden="false" customHeight="true" outlineLevel="0" collapsed="false"/>
    <row r="91" customFormat="false" ht="11.25" hidden="false" customHeight="true" outlineLevel="0" collapsed="false"/>
    <row r="92" customFormat="false" ht="11.25" hidden="false" customHeight="true" outlineLevel="0" collapsed="false"/>
    <row r="93" customFormat="false" ht="11.25" hidden="false" customHeight="true" outlineLevel="0" collapsed="false"/>
    <row r="94" customFormat="false" ht="11.25" hidden="false" customHeight="true" outlineLevel="0" collapsed="false"/>
    <row r="95" customFormat="false" ht="11.25" hidden="false" customHeight="true" outlineLevel="0" collapsed="false"/>
    <row r="96" customFormat="false" ht="11.25" hidden="false" customHeight="true" outlineLevel="0" collapsed="false"/>
    <row r="97" customFormat="false" ht="11.25" hidden="false" customHeight="true" outlineLevel="0" collapsed="false"/>
    <row r="98" customFormat="false" ht="11.25" hidden="false" customHeight="true" outlineLevel="0" collapsed="false"/>
    <row r="99" customFormat="false" ht="11.25" hidden="false" customHeight="true" outlineLevel="0" collapsed="false"/>
    <row r="100" customFormat="false" ht="11.25" hidden="false" customHeight="true" outlineLevel="0" collapsed="false"/>
  </sheetData>
  <mergeCells count="5">
    <mergeCell ref="A1:A2"/>
    <mergeCell ref="B1:C1"/>
    <mergeCell ref="D1:E1"/>
    <mergeCell ref="B2:C2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5.3359375" defaultRowHeight="11.2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20"/>
    <col collapsed="false" customWidth="true" hidden="false" outlineLevel="0" max="8" min="8" style="0" width="15.67"/>
    <col collapsed="false" customWidth="true" hidden="false" outlineLevel="0" max="9" min="9" style="0" width="13"/>
    <col collapsed="false" customWidth="true" hidden="true" outlineLevel="0" max="17" min="16" style="0" width="13"/>
    <col collapsed="false" customWidth="true" hidden="false" outlineLevel="0" max="257" min="257" style="0" width="30"/>
    <col collapsed="false" customWidth="true" hidden="false" outlineLevel="0" max="263" min="258" style="0" width="20"/>
    <col collapsed="false" customWidth="true" hidden="false" outlineLevel="0" max="513" min="513" style="0" width="30"/>
    <col collapsed="false" customWidth="true" hidden="false" outlineLevel="0" max="519" min="514" style="0" width="20"/>
    <col collapsed="false" customWidth="true" hidden="false" outlineLevel="0" max="769" min="769" style="0" width="30"/>
    <col collapsed="false" customWidth="true" hidden="false" outlineLevel="0" max="775" min="770" style="0" width="20"/>
    <col collapsed="false" customWidth="true" hidden="false" outlineLevel="0" max="1025" min="1025" style="0" width="30"/>
    <col collapsed="false" customWidth="true" hidden="false" outlineLevel="0" max="1031" min="1026" style="0" width="20"/>
    <col collapsed="false" customWidth="true" hidden="false" outlineLevel="0" max="1281" min="1281" style="0" width="30"/>
    <col collapsed="false" customWidth="true" hidden="false" outlineLevel="0" max="1287" min="1282" style="0" width="20"/>
    <col collapsed="false" customWidth="true" hidden="false" outlineLevel="0" max="1537" min="1537" style="0" width="30"/>
    <col collapsed="false" customWidth="true" hidden="false" outlineLevel="0" max="1543" min="1538" style="0" width="20"/>
    <col collapsed="false" customWidth="true" hidden="false" outlineLevel="0" max="1793" min="1793" style="0" width="30"/>
    <col collapsed="false" customWidth="true" hidden="false" outlineLevel="0" max="1799" min="1794" style="0" width="20"/>
    <col collapsed="false" customWidth="true" hidden="false" outlineLevel="0" max="2049" min="2049" style="0" width="30"/>
    <col collapsed="false" customWidth="true" hidden="false" outlineLevel="0" max="2055" min="2050" style="0" width="20"/>
    <col collapsed="false" customWidth="true" hidden="false" outlineLevel="0" max="2305" min="2305" style="0" width="30"/>
    <col collapsed="false" customWidth="true" hidden="false" outlineLevel="0" max="2311" min="2306" style="0" width="20"/>
    <col collapsed="false" customWidth="true" hidden="false" outlineLevel="0" max="2561" min="2561" style="0" width="30"/>
    <col collapsed="false" customWidth="true" hidden="false" outlineLevel="0" max="2567" min="2562" style="0" width="20"/>
    <col collapsed="false" customWidth="true" hidden="false" outlineLevel="0" max="2817" min="2817" style="0" width="30"/>
    <col collapsed="false" customWidth="true" hidden="false" outlineLevel="0" max="2823" min="2818" style="0" width="20"/>
    <col collapsed="false" customWidth="true" hidden="false" outlineLevel="0" max="3073" min="3073" style="0" width="30"/>
    <col collapsed="false" customWidth="true" hidden="false" outlineLevel="0" max="3079" min="3074" style="0" width="20"/>
    <col collapsed="false" customWidth="true" hidden="false" outlineLevel="0" max="3329" min="3329" style="0" width="30"/>
    <col collapsed="false" customWidth="true" hidden="false" outlineLevel="0" max="3335" min="3330" style="0" width="20"/>
    <col collapsed="false" customWidth="true" hidden="false" outlineLevel="0" max="3585" min="3585" style="0" width="30"/>
    <col collapsed="false" customWidth="true" hidden="false" outlineLevel="0" max="3591" min="3586" style="0" width="20"/>
    <col collapsed="false" customWidth="true" hidden="false" outlineLevel="0" max="3841" min="3841" style="0" width="30"/>
    <col collapsed="false" customWidth="true" hidden="false" outlineLevel="0" max="3847" min="3842" style="0" width="20"/>
    <col collapsed="false" customWidth="true" hidden="false" outlineLevel="0" max="4097" min="4097" style="0" width="30"/>
    <col collapsed="false" customWidth="true" hidden="false" outlineLevel="0" max="4103" min="4098" style="0" width="20"/>
    <col collapsed="false" customWidth="true" hidden="false" outlineLevel="0" max="4353" min="4353" style="0" width="30"/>
    <col collapsed="false" customWidth="true" hidden="false" outlineLevel="0" max="4359" min="4354" style="0" width="20"/>
    <col collapsed="false" customWidth="true" hidden="false" outlineLevel="0" max="4609" min="4609" style="0" width="30"/>
    <col collapsed="false" customWidth="true" hidden="false" outlineLevel="0" max="4615" min="4610" style="0" width="20"/>
    <col collapsed="false" customWidth="true" hidden="false" outlineLevel="0" max="4865" min="4865" style="0" width="30"/>
    <col collapsed="false" customWidth="true" hidden="false" outlineLevel="0" max="4871" min="4866" style="0" width="20"/>
    <col collapsed="false" customWidth="true" hidden="false" outlineLevel="0" max="5121" min="5121" style="0" width="30"/>
    <col collapsed="false" customWidth="true" hidden="false" outlineLevel="0" max="5127" min="5122" style="0" width="20"/>
    <col collapsed="false" customWidth="true" hidden="false" outlineLevel="0" max="5377" min="5377" style="0" width="30"/>
    <col collapsed="false" customWidth="true" hidden="false" outlineLevel="0" max="5383" min="5378" style="0" width="20"/>
    <col collapsed="false" customWidth="true" hidden="false" outlineLevel="0" max="5633" min="5633" style="0" width="30"/>
    <col collapsed="false" customWidth="true" hidden="false" outlineLevel="0" max="5639" min="5634" style="0" width="20"/>
    <col collapsed="false" customWidth="true" hidden="false" outlineLevel="0" max="5889" min="5889" style="0" width="30"/>
    <col collapsed="false" customWidth="true" hidden="false" outlineLevel="0" max="5895" min="5890" style="0" width="20"/>
    <col collapsed="false" customWidth="true" hidden="false" outlineLevel="0" max="6145" min="6145" style="0" width="30"/>
    <col collapsed="false" customWidth="true" hidden="false" outlineLevel="0" max="6151" min="6146" style="0" width="20"/>
    <col collapsed="false" customWidth="true" hidden="false" outlineLevel="0" max="6401" min="6401" style="0" width="30"/>
    <col collapsed="false" customWidth="true" hidden="false" outlineLevel="0" max="6407" min="6402" style="0" width="20"/>
    <col collapsed="false" customWidth="true" hidden="false" outlineLevel="0" max="6657" min="6657" style="0" width="30"/>
    <col collapsed="false" customWidth="true" hidden="false" outlineLevel="0" max="6663" min="6658" style="0" width="20"/>
    <col collapsed="false" customWidth="true" hidden="false" outlineLevel="0" max="6913" min="6913" style="0" width="30"/>
    <col collapsed="false" customWidth="true" hidden="false" outlineLevel="0" max="6919" min="6914" style="0" width="20"/>
    <col collapsed="false" customWidth="true" hidden="false" outlineLevel="0" max="7169" min="7169" style="0" width="30"/>
    <col collapsed="false" customWidth="true" hidden="false" outlineLevel="0" max="7175" min="7170" style="0" width="20"/>
    <col collapsed="false" customWidth="true" hidden="false" outlineLevel="0" max="7425" min="7425" style="0" width="30"/>
    <col collapsed="false" customWidth="true" hidden="false" outlineLevel="0" max="7431" min="7426" style="0" width="20"/>
    <col collapsed="false" customWidth="true" hidden="false" outlineLevel="0" max="7681" min="7681" style="0" width="30"/>
    <col collapsed="false" customWidth="true" hidden="false" outlineLevel="0" max="7687" min="7682" style="0" width="20"/>
    <col collapsed="false" customWidth="true" hidden="false" outlineLevel="0" max="7937" min="7937" style="0" width="30"/>
    <col collapsed="false" customWidth="true" hidden="false" outlineLevel="0" max="7943" min="7938" style="0" width="20"/>
    <col collapsed="false" customWidth="true" hidden="false" outlineLevel="0" max="8193" min="8193" style="0" width="30"/>
    <col collapsed="false" customWidth="true" hidden="false" outlineLevel="0" max="8199" min="8194" style="0" width="20"/>
    <col collapsed="false" customWidth="true" hidden="false" outlineLevel="0" max="8449" min="8449" style="0" width="30"/>
    <col collapsed="false" customWidth="true" hidden="false" outlineLevel="0" max="8455" min="8450" style="0" width="20"/>
    <col collapsed="false" customWidth="true" hidden="false" outlineLevel="0" max="8705" min="8705" style="0" width="30"/>
    <col collapsed="false" customWidth="true" hidden="false" outlineLevel="0" max="8711" min="8706" style="0" width="20"/>
    <col collapsed="false" customWidth="true" hidden="false" outlineLevel="0" max="8961" min="8961" style="0" width="30"/>
    <col collapsed="false" customWidth="true" hidden="false" outlineLevel="0" max="8967" min="8962" style="0" width="20"/>
    <col collapsed="false" customWidth="true" hidden="false" outlineLevel="0" max="9217" min="9217" style="0" width="30"/>
    <col collapsed="false" customWidth="true" hidden="false" outlineLevel="0" max="9223" min="9218" style="0" width="20"/>
    <col collapsed="false" customWidth="true" hidden="false" outlineLevel="0" max="9473" min="9473" style="0" width="30"/>
    <col collapsed="false" customWidth="true" hidden="false" outlineLevel="0" max="9479" min="9474" style="0" width="20"/>
    <col collapsed="false" customWidth="true" hidden="false" outlineLevel="0" max="9729" min="9729" style="0" width="30"/>
    <col collapsed="false" customWidth="true" hidden="false" outlineLevel="0" max="9735" min="9730" style="0" width="20"/>
    <col collapsed="false" customWidth="true" hidden="false" outlineLevel="0" max="9985" min="9985" style="0" width="30"/>
    <col collapsed="false" customWidth="true" hidden="false" outlineLevel="0" max="9991" min="9986" style="0" width="20"/>
    <col collapsed="false" customWidth="true" hidden="false" outlineLevel="0" max="10241" min="10241" style="0" width="30"/>
    <col collapsed="false" customWidth="true" hidden="false" outlineLevel="0" max="10247" min="10242" style="0" width="20"/>
    <col collapsed="false" customWidth="true" hidden="false" outlineLevel="0" max="10497" min="10497" style="0" width="30"/>
    <col collapsed="false" customWidth="true" hidden="false" outlineLevel="0" max="10503" min="10498" style="0" width="20"/>
    <col collapsed="false" customWidth="true" hidden="false" outlineLevel="0" max="10753" min="10753" style="0" width="30"/>
    <col collapsed="false" customWidth="true" hidden="false" outlineLevel="0" max="10759" min="10754" style="0" width="20"/>
    <col collapsed="false" customWidth="true" hidden="false" outlineLevel="0" max="11009" min="11009" style="0" width="30"/>
    <col collapsed="false" customWidth="true" hidden="false" outlineLevel="0" max="11015" min="11010" style="0" width="20"/>
    <col collapsed="false" customWidth="true" hidden="false" outlineLevel="0" max="11265" min="11265" style="0" width="30"/>
    <col collapsed="false" customWidth="true" hidden="false" outlineLevel="0" max="11271" min="11266" style="0" width="20"/>
    <col collapsed="false" customWidth="true" hidden="false" outlineLevel="0" max="11521" min="11521" style="0" width="30"/>
    <col collapsed="false" customWidth="true" hidden="false" outlineLevel="0" max="11527" min="11522" style="0" width="20"/>
    <col collapsed="false" customWidth="true" hidden="false" outlineLevel="0" max="11777" min="11777" style="0" width="30"/>
    <col collapsed="false" customWidth="true" hidden="false" outlineLevel="0" max="11783" min="11778" style="0" width="20"/>
    <col collapsed="false" customWidth="true" hidden="false" outlineLevel="0" max="12033" min="12033" style="0" width="30"/>
    <col collapsed="false" customWidth="true" hidden="false" outlineLevel="0" max="12039" min="12034" style="0" width="20"/>
    <col collapsed="false" customWidth="true" hidden="false" outlineLevel="0" max="12289" min="12289" style="0" width="30"/>
    <col collapsed="false" customWidth="true" hidden="false" outlineLevel="0" max="12295" min="12290" style="0" width="20"/>
    <col collapsed="false" customWidth="true" hidden="false" outlineLevel="0" max="12545" min="12545" style="0" width="30"/>
    <col collapsed="false" customWidth="true" hidden="false" outlineLevel="0" max="12551" min="12546" style="0" width="20"/>
    <col collapsed="false" customWidth="true" hidden="false" outlineLevel="0" max="12801" min="12801" style="0" width="30"/>
    <col collapsed="false" customWidth="true" hidden="false" outlineLevel="0" max="12807" min="12802" style="0" width="20"/>
    <col collapsed="false" customWidth="true" hidden="false" outlineLevel="0" max="13057" min="13057" style="0" width="30"/>
    <col collapsed="false" customWidth="true" hidden="false" outlineLevel="0" max="13063" min="13058" style="0" width="20"/>
    <col collapsed="false" customWidth="true" hidden="false" outlineLevel="0" max="13313" min="13313" style="0" width="30"/>
    <col collapsed="false" customWidth="true" hidden="false" outlineLevel="0" max="13319" min="13314" style="0" width="20"/>
    <col collapsed="false" customWidth="true" hidden="false" outlineLevel="0" max="13569" min="13569" style="0" width="30"/>
    <col collapsed="false" customWidth="true" hidden="false" outlineLevel="0" max="13575" min="13570" style="0" width="20"/>
    <col collapsed="false" customWidth="true" hidden="false" outlineLevel="0" max="13825" min="13825" style="0" width="30"/>
    <col collapsed="false" customWidth="true" hidden="false" outlineLevel="0" max="13831" min="13826" style="0" width="20"/>
    <col collapsed="false" customWidth="true" hidden="false" outlineLevel="0" max="14081" min="14081" style="0" width="30"/>
    <col collapsed="false" customWidth="true" hidden="false" outlineLevel="0" max="14087" min="14082" style="0" width="20"/>
    <col collapsed="false" customWidth="true" hidden="false" outlineLevel="0" max="14337" min="14337" style="0" width="30"/>
    <col collapsed="false" customWidth="true" hidden="false" outlineLevel="0" max="14343" min="14338" style="0" width="20"/>
    <col collapsed="false" customWidth="true" hidden="false" outlineLevel="0" max="14593" min="14593" style="0" width="30"/>
    <col collapsed="false" customWidth="true" hidden="false" outlineLevel="0" max="14599" min="14594" style="0" width="20"/>
    <col collapsed="false" customWidth="true" hidden="false" outlineLevel="0" max="14849" min="14849" style="0" width="30"/>
    <col collapsed="false" customWidth="true" hidden="false" outlineLevel="0" max="14855" min="14850" style="0" width="20"/>
    <col collapsed="false" customWidth="true" hidden="false" outlineLevel="0" max="15105" min="15105" style="0" width="30"/>
    <col collapsed="false" customWidth="true" hidden="false" outlineLevel="0" max="15111" min="15106" style="0" width="20"/>
    <col collapsed="false" customWidth="true" hidden="false" outlineLevel="0" max="15361" min="15361" style="0" width="30"/>
    <col collapsed="false" customWidth="true" hidden="false" outlineLevel="0" max="15367" min="15362" style="0" width="20"/>
    <col collapsed="false" customWidth="true" hidden="false" outlineLevel="0" max="15617" min="15617" style="0" width="30"/>
    <col collapsed="false" customWidth="true" hidden="false" outlineLevel="0" max="15623" min="15618" style="0" width="20"/>
    <col collapsed="false" customWidth="true" hidden="false" outlineLevel="0" max="15873" min="15873" style="0" width="30"/>
    <col collapsed="false" customWidth="true" hidden="false" outlineLevel="0" max="15879" min="15874" style="0" width="20"/>
    <col collapsed="false" customWidth="true" hidden="false" outlineLevel="0" max="16129" min="16129" style="0" width="30"/>
    <col collapsed="false" customWidth="true" hidden="false" outlineLevel="0" max="16135" min="16130" style="0" width="20"/>
  </cols>
  <sheetData>
    <row r="1" customFormat="false" ht="18.75" hidden="false" customHeight="true" outlineLevel="0" collapsed="false">
      <c r="A1" s="138" t="s">
        <v>47</v>
      </c>
      <c r="B1" s="138" t="s">
        <v>188</v>
      </c>
      <c r="C1" s="143" t="s">
        <v>326</v>
      </c>
      <c r="D1" s="143" t="s">
        <v>327</v>
      </c>
      <c r="E1" s="143" t="s">
        <v>328</v>
      </c>
      <c r="F1" s="143" t="s">
        <v>329</v>
      </c>
      <c r="G1" s="143" t="s">
        <v>330</v>
      </c>
      <c r="H1" s="143" t="s">
        <v>331</v>
      </c>
    </row>
    <row r="2" customFormat="false" ht="13.5" hidden="false" customHeight="true" outlineLevel="0" collapsed="false">
      <c r="A2" s="141" t="s">
        <v>332</v>
      </c>
      <c r="B2" s="144" t="n">
        <v>16924670011</v>
      </c>
      <c r="C2" s="144" t="n">
        <v>2259822004</v>
      </c>
      <c r="D2" s="144" t="n">
        <v>2611620075</v>
      </c>
      <c r="E2" s="144" t="n">
        <v>3088311293</v>
      </c>
      <c r="F2" s="144" t="n">
        <v>3252016356</v>
      </c>
      <c r="G2" s="144" t="n">
        <v>2900947613</v>
      </c>
      <c r="H2" s="144" t="n">
        <v>2811952670</v>
      </c>
      <c r="P2" s="0" t="str">
        <f aca="false">IF(A2="","",SUBSTITUTE(A2," ",""))</f>
        <v>Ⅰ.매출액</v>
      </c>
      <c r="Q2" s="0" t="str">
        <f aca="false">IF(A2="","",P2&amp;"|"&amp;COUNTIF($P$2:P2,P2))</f>
        <v>Ⅰ.매출액|1</v>
      </c>
    </row>
    <row r="3" customFormat="false" ht="13.5" hidden="false" customHeight="true" outlineLevel="0" collapsed="false">
      <c r="A3" s="139" t="s">
        <v>135</v>
      </c>
      <c r="B3" s="144" t="n">
        <v>16811107671</v>
      </c>
      <c r="C3" s="144" t="n">
        <v>2249949486</v>
      </c>
      <c r="D3" s="144" t="n">
        <v>2611620075</v>
      </c>
      <c r="E3" s="144" t="n">
        <v>2987460975</v>
      </c>
      <c r="F3" s="144" t="n">
        <v>3252016356</v>
      </c>
      <c r="G3" s="144" t="n">
        <v>2898108109</v>
      </c>
      <c r="H3" s="144" t="n">
        <v>2811952670</v>
      </c>
      <c r="P3" s="0" t="str">
        <f aca="false">IF(A3="","",SUBSTITUTE(A3," ",""))</f>
        <v>상품매출</v>
      </c>
      <c r="Q3" s="0" t="str">
        <f aca="false">IF(A3="","",P3&amp;"|"&amp;COUNTIF($P$2:P3,P3))</f>
        <v>상품매출|1</v>
      </c>
    </row>
    <row r="4" customFormat="false" ht="13.5" hidden="false" customHeight="true" outlineLevel="0" collapsed="false">
      <c r="A4" s="139" t="s">
        <v>136</v>
      </c>
      <c r="B4" s="144" t="n">
        <v>113562340</v>
      </c>
      <c r="C4" s="144" t="n">
        <v>9872518</v>
      </c>
      <c r="D4" s="144" t="n">
        <v>0</v>
      </c>
      <c r="E4" s="144" t="n">
        <v>100850318</v>
      </c>
      <c r="F4" s="144" t="n">
        <v>0</v>
      </c>
      <c r="G4" s="144" t="n">
        <v>2839504</v>
      </c>
      <c r="H4" s="144" t="n">
        <v>0</v>
      </c>
      <c r="P4" s="0" t="str">
        <f aca="false">IF(A4="","",SUBSTITUTE(A4," ",""))</f>
        <v>상품수출매출</v>
      </c>
      <c r="Q4" s="0" t="str">
        <f aca="false">IF(A4="","",P4&amp;"|"&amp;COUNTIF($P$2:P4,P4))</f>
        <v>상품수출매출|1</v>
      </c>
    </row>
    <row r="5" customFormat="false" ht="13.5" hidden="false" customHeight="true" outlineLevel="0" collapsed="false">
      <c r="A5" s="141" t="s">
        <v>333</v>
      </c>
      <c r="B5" s="144" t="n">
        <v>14142558811</v>
      </c>
      <c r="C5" s="144" t="n">
        <v>1932310934</v>
      </c>
      <c r="D5" s="144" t="n">
        <v>2202706401</v>
      </c>
      <c r="E5" s="144" t="n">
        <v>2584452050</v>
      </c>
      <c r="F5" s="144" t="n">
        <v>2720044477</v>
      </c>
      <c r="G5" s="144" t="n">
        <v>2408362753</v>
      </c>
      <c r="H5" s="144" t="n">
        <v>2294682196</v>
      </c>
      <c r="P5" s="0" t="str">
        <f aca="false">IF(A5="","",SUBSTITUTE(A5," ",""))</f>
        <v>Ⅱ.매출원가</v>
      </c>
      <c r="Q5" s="0" t="str">
        <f aca="false">IF(A5="","",P5&amp;"|"&amp;COUNTIF($P$2:P5,P5))</f>
        <v>Ⅱ.매출원가|1</v>
      </c>
    </row>
    <row r="6" customFormat="false" ht="13.5" hidden="false" customHeight="true" outlineLevel="0" collapsed="false">
      <c r="A6" s="139" t="s">
        <v>138</v>
      </c>
      <c r="B6" s="144" t="n">
        <v>14142558811</v>
      </c>
      <c r="C6" s="144" t="n">
        <v>1932310934</v>
      </c>
      <c r="D6" s="144" t="n">
        <v>2202706401</v>
      </c>
      <c r="E6" s="144" t="n">
        <v>2584452050</v>
      </c>
      <c r="F6" s="144" t="n">
        <v>2720044477</v>
      </c>
      <c r="G6" s="144" t="n">
        <v>2408362753</v>
      </c>
      <c r="H6" s="144" t="n">
        <v>2294682196</v>
      </c>
      <c r="P6" s="0" t="str">
        <f aca="false">IF(A6="","",SUBSTITUTE(A6," ",""))</f>
        <v>상품매출원가</v>
      </c>
      <c r="Q6" s="0" t="str">
        <f aca="false">IF(A6="","",P6&amp;"|"&amp;COUNTIF($P$2:P6,P6))</f>
        <v>상품매출원가|1</v>
      </c>
    </row>
    <row r="7" customFormat="false" ht="13.5" hidden="false" customHeight="true" outlineLevel="0" collapsed="false">
      <c r="A7" s="139" t="s">
        <v>139</v>
      </c>
      <c r="B7" s="144" t="n">
        <v>2098835763</v>
      </c>
      <c r="C7" s="144" t="n">
        <v>2098835763</v>
      </c>
      <c r="D7" s="144" t="n">
        <v>2202511203</v>
      </c>
      <c r="E7" s="144" t="n">
        <v>2199480449</v>
      </c>
      <c r="F7" s="144" t="n">
        <v>2215051462</v>
      </c>
      <c r="G7" s="144" t="n">
        <v>2183380286</v>
      </c>
      <c r="H7" s="144" t="n">
        <v>2098118507</v>
      </c>
      <c r="P7" s="0" t="str">
        <f aca="false">IF(A7="","",SUBSTITUTE(A7," ",""))</f>
        <v>기초상품재고액</v>
      </c>
      <c r="Q7" s="0" t="str">
        <f aca="false">IF(A7="","",P7&amp;"|"&amp;COUNTIF($P$2:P7,P7))</f>
        <v>기초상품재고액|1</v>
      </c>
    </row>
    <row r="8" customFormat="false" ht="13.5" hidden="false" customHeight="true" outlineLevel="0" collapsed="false">
      <c r="A8" s="139" t="s">
        <v>140</v>
      </c>
      <c r="B8" s="144" t="n">
        <v>14262980978</v>
      </c>
      <c r="C8" s="144" t="n">
        <v>2046901901</v>
      </c>
      <c r="D8" s="144" t="n">
        <v>2207681760</v>
      </c>
      <c r="E8" s="144" t="n">
        <v>2607090450</v>
      </c>
      <c r="F8" s="144" t="n">
        <v>2698904276</v>
      </c>
      <c r="G8" s="144" t="n">
        <v>2335105851</v>
      </c>
      <c r="H8" s="144" t="n">
        <v>2367296740</v>
      </c>
      <c r="P8" s="0" t="str">
        <f aca="false">IF(A8="","",SUBSTITUTE(A8," ",""))</f>
        <v>당기상품매입액</v>
      </c>
      <c r="Q8" s="0" t="str">
        <f aca="false">IF(A8="","",P8&amp;"|"&amp;COUNTIF($P$2:P8,P8))</f>
        <v>당기상품매입액|1</v>
      </c>
    </row>
    <row r="9" customFormat="false" ht="13.5" hidden="false" customHeight="true" outlineLevel="0" collapsed="false">
      <c r="A9" s="139" t="s">
        <v>141</v>
      </c>
      <c r="B9" s="144" t="n">
        <v>55192063</v>
      </c>
      <c r="C9" s="144" t="n">
        <v>10915527</v>
      </c>
      <c r="D9" s="144" t="n">
        <v>8006113</v>
      </c>
      <c r="E9" s="144" t="n">
        <v>7067387</v>
      </c>
      <c r="F9" s="144" t="n">
        <v>10530975</v>
      </c>
      <c r="G9" s="144" t="n">
        <v>12004877</v>
      </c>
      <c r="H9" s="144" t="n">
        <v>6667184</v>
      </c>
      <c r="P9" s="0" t="str">
        <f aca="false">IF(A9="","",SUBSTITUTE(A9," ",""))</f>
        <v>매입할인</v>
      </c>
      <c r="Q9" s="0" t="str">
        <f aca="false">IF(A9="","",P9&amp;"|"&amp;COUNTIF($P$2:P9,P9))</f>
        <v>매입할인|1</v>
      </c>
    </row>
    <row r="10" customFormat="false" ht="13.5" hidden="false" customHeight="true" outlineLevel="0" collapsed="false">
      <c r="A10" s="139" t="s">
        <v>142</v>
      </c>
      <c r="B10" s="144" t="n">
        <v>2164065867</v>
      </c>
      <c r="C10" s="144" t="n">
        <v>2202511203</v>
      </c>
      <c r="D10" s="144" t="n">
        <v>2199480449</v>
      </c>
      <c r="E10" s="144" t="n">
        <v>2215051462</v>
      </c>
      <c r="F10" s="144" t="n">
        <v>2183380286</v>
      </c>
      <c r="G10" s="144" t="n">
        <v>2098118507</v>
      </c>
      <c r="H10" s="144" t="n">
        <v>2164065867</v>
      </c>
      <c r="P10" s="0" t="str">
        <f aca="false">IF(A10="","",SUBSTITUTE(A10," ",""))</f>
        <v>기말상품재고액</v>
      </c>
      <c r="Q10" s="0" t="str">
        <f aca="false">IF(A10="","",P10&amp;"|"&amp;COUNTIF($P$2:P10,P10))</f>
        <v>기말상품재고액|1</v>
      </c>
    </row>
    <row r="11" customFormat="false" ht="13.5" hidden="false" customHeight="true" outlineLevel="0" collapsed="false">
      <c r="A11" s="141" t="s">
        <v>334</v>
      </c>
      <c r="B11" s="144" t="n">
        <v>2782111200</v>
      </c>
      <c r="C11" s="144" t="n">
        <v>327511070</v>
      </c>
      <c r="D11" s="144" t="n">
        <v>408913674</v>
      </c>
      <c r="E11" s="144" t="n">
        <v>503859243</v>
      </c>
      <c r="F11" s="144" t="n">
        <v>531971879</v>
      </c>
      <c r="G11" s="144" t="n">
        <v>492584860</v>
      </c>
      <c r="H11" s="144" t="n">
        <v>517270474</v>
      </c>
      <c r="P11" s="0" t="str">
        <f aca="false">IF(A11="","",SUBSTITUTE(A11," ",""))</f>
        <v>Ⅲ.매출총이익</v>
      </c>
      <c r="Q11" s="0" t="str">
        <f aca="false">IF(A11="","",P11&amp;"|"&amp;COUNTIF($P$2:P11,P11))</f>
        <v>Ⅲ.매출총이익|1</v>
      </c>
    </row>
    <row r="12" customFormat="false" ht="13.5" hidden="false" customHeight="true" outlineLevel="0" collapsed="false">
      <c r="A12" s="141" t="s">
        <v>335</v>
      </c>
      <c r="B12" s="144" t="n">
        <v>1674889822</v>
      </c>
      <c r="C12" s="144" t="n">
        <v>286769154</v>
      </c>
      <c r="D12" s="144" t="n">
        <v>260263942</v>
      </c>
      <c r="E12" s="144" t="n">
        <v>281123798</v>
      </c>
      <c r="F12" s="144" t="n">
        <v>266372656</v>
      </c>
      <c r="G12" s="144" t="n">
        <v>268138369</v>
      </c>
      <c r="H12" s="144" t="n">
        <v>312221903</v>
      </c>
      <c r="P12" s="0" t="str">
        <f aca="false">IF(A12="","",SUBSTITUTE(A12," ",""))</f>
        <v>Ⅳ.판매관리비</v>
      </c>
      <c r="Q12" s="0" t="str">
        <f aca="false">IF(A12="","",P12&amp;"|"&amp;COUNTIF($P$2:P12,P12))</f>
        <v>Ⅳ.판매관리비|1</v>
      </c>
    </row>
    <row r="13" customFormat="false" ht="13.5" hidden="false" customHeight="true" outlineLevel="0" collapsed="false">
      <c r="A13" s="139" t="s">
        <v>146</v>
      </c>
      <c r="B13" s="144" t="n">
        <v>1005640511</v>
      </c>
      <c r="C13" s="144" t="n">
        <v>159934683</v>
      </c>
      <c r="D13" s="144" t="n">
        <v>160558333</v>
      </c>
      <c r="E13" s="144" t="n">
        <v>162139803</v>
      </c>
      <c r="F13" s="144" t="n">
        <v>159965336</v>
      </c>
      <c r="G13" s="144" t="n">
        <v>156225003</v>
      </c>
      <c r="H13" s="144" t="n">
        <v>206817353</v>
      </c>
      <c r="P13" s="0" t="str">
        <f aca="false">IF(A13="","",SUBSTITUTE(A13," ",""))</f>
        <v>직원급여</v>
      </c>
      <c r="Q13" s="0" t="str">
        <f aca="false">IF(A13="","",P13&amp;"|"&amp;COUNTIF($P$2:P13,P13))</f>
        <v>직원급여|1</v>
      </c>
    </row>
    <row r="14" customFormat="false" ht="11.25" hidden="false" customHeight="true" outlineLevel="0" collapsed="false">
      <c r="A14" s="142" t="s">
        <v>149</v>
      </c>
      <c r="B14" s="144" t="n">
        <v>3419250</v>
      </c>
      <c r="C14" s="144" t="n">
        <v>0</v>
      </c>
      <c r="D14" s="144" t="n">
        <v>0</v>
      </c>
      <c r="E14" s="144" t="n">
        <v>0</v>
      </c>
      <c r="F14" s="144" t="n">
        <v>2391780</v>
      </c>
      <c r="G14" s="144" t="n">
        <v>1027470</v>
      </c>
      <c r="H14" s="144" t="n">
        <v>0</v>
      </c>
      <c r="P14" s="0" t="str">
        <f aca="false">IF(A14="","",SUBSTITUTE(A14," ",""))</f>
        <v>퇴직급여</v>
      </c>
      <c r="Q14" s="0" t="str">
        <f aca="false">IF(A14="","",P14&amp;"|"&amp;COUNTIF($P$2:P14,P14))</f>
        <v>퇴직급여|1</v>
      </c>
    </row>
    <row r="15" customFormat="false" ht="13.5" hidden="false" customHeight="true" outlineLevel="0" collapsed="false">
      <c r="A15" s="139" t="s">
        <v>150</v>
      </c>
      <c r="B15" s="144" t="n">
        <v>84466359</v>
      </c>
      <c r="C15" s="144" t="n">
        <v>13384368</v>
      </c>
      <c r="D15" s="144" t="n">
        <v>12458555</v>
      </c>
      <c r="E15" s="144" t="n">
        <v>11081209</v>
      </c>
      <c r="F15" s="144" t="n">
        <v>14204566</v>
      </c>
      <c r="G15" s="144" t="n">
        <v>21443516</v>
      </c>
      <c r="H15" s="144" t="n">
        <v>11894145</v>
      </c>
      <c r="P15" s="0" t="str">
        <f aca="false">IF(A15="","",SUBSTITUTE(A15," ",""))</f>
        <v>복리후생비</v>
      </c>
      <c r="Q15" s="0" t="str">
        <f aca="false">IF(A15="","",P15&amp;"|"&amp;COUNTIF($P$2:P15,P15))</f>
        <v>복리후생비|1</v>
      </c>
    </row>
    <row r="16" customFormat="false" ht="13.5" hidden="false" customHeight="true" outlineLevel="0" collapsed="false">
      <c r="A16" s="139" t="s">
        <v>151</v>
      </c>
      <c r="B16" s="144" t="n">
        <v>3249000</v>
      </c>
      <c r="C16" s="144" t="n">
        <v>370200</v>
      </c>
      <c r="D16" s="144" t="n">
        <v>788000</v>
      </c>
      <c r="E16" s="144" t="n">
        <v>539100</v>
      </c>
      <c r="F16" s="144" t="n">
        <v>506700</v>
      </c>
      <c r="G16" s="144" t="n">
        <v>827400</v>
      </c>
      <c r="H16" s="144" t="n">
        <v>217600</v>
      </c>
      <c r="P16" s="0" t="str">
        <f aca="false">IF(A16="","",SUBSTITUTE(A16," ",""))</f>
        <v>여비교통비</v>
      </c>
      <c r="Q16" s="0" t="str">
        <f aca="false">IF(A16="","",P16&amp;"|"&amp;COUNTIF($P$2:P16,P16))</f>
        <v>여비교통비|1</v>
      </c>
    </row>
    <row r="17" customFormat="false" ht="13.5" hidden="false" customHeight="true" outlineLevel="0" collapsed="false">
      <c r="A17" s="139" t="s">
        <v>152</v>
      </c>
      <c r="B17" s="144" t="n">
        <v>34625930</v>
      </c>
      <c r="C17" s="144" t="n">
        <v>16172200</v>
      </c>
      <c r="D17" s="144" t="n">
        <v>1913680</v>
      </c>
      <c r="E17" s="144" t="n">
        <v>4930000</v>
      </c>
      <c r="F17" s="144" t="n">
        <v>3218150</v>
      </c>
      <c r="G17" s="144" t="n">
        <v>5064800</v>
      </c>
      <c r="H17" s="144" t="n">
        <v>3327100</v>
      </c>
      <c r="P17" s="0" t="str">
        <f aca="false">IF(A17="","",SUBSTITUTE(A17," ",""))</f>
        <v>접대비</v>
      </c>
      <c r="Q17" s="0" t="str">
        <f aca="false">IF(A17="","",P17&amp;"|"&amp;COUNTIF($P$2:P17,P17))</f>
        <v>접대비|1</v>
      </c>
    </row>
    <row r="18" customFormat="false" ht="13.5" hidden="false" customHeight="true" outlineLevel="0" collapsed="false">
      <c r="A18" s="139" t="s">
        <v>153</v>
      </c>
      <c r="B18" s="144" t="n">
        <v>9388202</v>
      </c>
      <c r="C18" s="144" t="n">
        <v>1573665</v>
      </c>
      <c r="D18" s="144" t="n">
        <v>1544148</v>
      </c>
      <c r="E18" s="144" t="n">
        <v>1578167</v>
      </c>
      <c r="F18" s="144" t="n">
        <v>1579893</v>
      </c>
      <c r="G18" s="144" t="n">
        <v>1564424</v>
      </c>
      <c r="H18" s="144" t="n">
        <v>1547905</v>
      </c>
      <c r="P18" s="0" t="str">
        <f aca="false">IF(A18="","",SUBSTITUTE(A18," ",""))</f>
        <v>통신비</v>
      </c>
      <c r="Q18" s="0" t="str">
        <f aca="false">IF(A18="","",P18&amp;"|"&amp;COUNTIF($P$2:P18,P18))</f>
        <v>통신비|1</v>
      </c>
    </row>
    <row r="19" customFormat="false" ht="13.5" hidden="false" customHeight="true" outlineLevel="0" collapsed="false">
      <c r="A19" s="139" t="s">
        <v>154</v>
      </c>
      <c r="B19" s="144" t="n">
        <v>498880</v>
      </c>
      <c r="C19" s="144" t="n">
        <v>224570</v>
      </c>
      <c r="D19" s="144" t="n">
        <v>139230</v>
      </c>
      <c r="E19" s="144" t="n">
        <v>36040</v>
      </c>
      <c r="F19" s="144" t="n">
        <v>26440</v>
      </c>
      <c r="G19" s="144" t="n">
        <v>41830</v>
      </c>
      <c r="H19" s="144" t="n">
        <v>30770</v>
      </c>
      <c r="P19" s="0" t="str">
        <f aca="false">IF(A19="","",SUBSTITUTE(A19," ",""))</f>
        <v>수도광열비</v>
      </c>
      <c r="Q19" s="0" t="str">
        <f aca="false">IF(A19="","",P19&amp;"|"&amp;COUNTIF($P$2:P19,P19))</f>
        <v>수도광열비|1</v>
      </c>
    </row>
    <row r="20" customFormat="false" ht="13.5" hidden="false" customHeight="true" outlineLevel="0" collapsed="false">
      <c r="A20" s="139" t="s">
        <v>155</v>
      </c>
      <c r="B20" s="144" t="n">
        <v>8343428</v>
      </c>
      <c r="C20" s="144" t="n">
        <v>1655930</v>
      </c>
      <c r="D20" s="144" t="n">
        <v>1864436</v>
      </c>
      <c r="E20" s="144" t="n">
        <v>1713705</v>
      </c>
      <c r="F20" s="144" t="n">
        <v>1197096</v>
      </c>
      <c r="G20" s="144" t="n">
        <v>985023</v>
      </c>
      <c r="H20" s="144" t="n">
        <v>927238</v>
      </c>
      <c r="P20" s="0" t="str">
        <f aca="false">IF(A20="","",SUBSTITUTE(A20," ",""))</f>
        <v>전력비</v>
      </c>
      <c r="Q20" s="0" t="str">
        <f aca="false">IF(A20="","",P20&amp;"|"&amp;COUNTIF($P$2:P20,P20))</f>
        <v>전력비|1</v>
      </c>
    </row>
    <row r="21" customFormat="false" ht="13.5" hidden="false" customHeight="true" outlineLevel="0" collapsed="false">
      <c r="A21" s="139" t="s">
        <v>156</v>
      </c>
      <c r="B21" s="144" t="n">
        <v>48976560</v>
      </c>
      <c r="C21" s="144" t="n">
        <v>7166210</v>
      </c>
      <c r="D21" s="144" t="n">
        <v>9804760</v>
      </c>
      <c r="E21" s="144" t="n">
        <v>7169550</v>
      </c>
      <c r="F21" s="144" t="n">
        <v>7177450</v>
      </c>
      <c r="G21" s="144" t="n">
        <v>7267440</v>
      </c>
      <c r="H21" s="144" t="n">
        <v>10391150</v>
      </c>
      <c r="P21" s="0" t="str">
        <f aca="false">IF(A21="","",SUBSTITUTE(A21," ",""))</f>
        <v>세금과공과금</v>
      </c>
      <c r="Q21" s="0" t="str">
        <f aca="false">IF(A21="","",P21&amp;"|"&amp;COUNTIF($P$2:P21,P21))</f>
        <v>세금과공과금|1</v>
      </c>
    </row>
    <row r="22" customFormat="false" ht="13.5" hidden="false" customHeight="true" outlineLevel="0" collapsed="false">
      <c r="A22" s="139" t="s">
        <v>157</v>
      </c>
      <c r="B22" s="144" t="n">
        <v>74070444</v>
      </c>
      <c r="C22" s="144" t="n">
        <v>12315392</v>
      </c>
      <c r="D22" s="144" t="n">
        <v>12351012</v>
      </c>
      <c r="E22" s="144" t="n">
        <v>12351010</v>
      </c>
      <c r="F22" s="144" t="n">
        <v>12351010</v>
      </c>
      <c r="G22" s="144" t="n">
        <v>12351010</v>
      </c>
      <c r="H22" s="144" t="n">
        <v>12351010</v>
      </c>
      <c r="P22" s="0" t="str">
        <f aca="false">IF(A22="","",SUBSTITUTE(A22," ",""))</f>
        <v>감가상각비</v>
      </c>
      <c r="Q22" s="0" t="str">
        <f aca="false">IF(A22="","",P22&amp;"|"&amp;COUNTIF($P$2:P22,P22))</f>
        <v>감가상각비|1</v>
      </c>
    </row>
    <row r="23" customFormat="false" ht="13.5" hidden="false" customHeight="true" outlineLevel="0" collapsed="false">
      <c r="A23" s="139" t="s">
        <v>158</v>
      </c>
      <c r="B23" s="144" t="n">
        <v>81000000</v>
      </c>
      <c r="C23" s="144" t="n">
        <v>13500000</v>
      </c>
      <c r="D23" s="144" t="n">
        <v>13500000</v>
      </c>
      <c r="E23" s="144" t="n">
        <v>13500000</v>
      </c>
      <c r="F23" s="144" t="n">
        <v>13500000</v>
      </c>
      <c r="G23" s="144" t="n">
        <v>13500000</v>
      </c>
      <c r="H23" s="144" t="n">
        <v>13500000</v>
      </c>
      <c r="P23" s="0" t="str">
        <f aca="false">IF(A23="","",SUBSTITUTE(A23," ",""))</f>
        <v>지급임차료</v>
      </c>
      <c r="Q23" s="0" t="str">
        <f aca="false">IF(A23="","",P23&amp;"|"&amp;COUNTIF($P$2:P23,P23))</f>
        <v>지급임차료|1</v>
      </c>
    </row>
    <row r="24" customFormat="false" ht="13.5" hidden="false" customHeight="true" outlineLevel="0" collapsed="false">
      <c r="A24" s="139" t="s">
        <v>159</v>
      </c>
      <c r="B24" s="144" t="n">
        <v>46145145</v>
      </c>
      <c r="C24" s="144" t="n">
        <v>17822605</v>
      </c>
      <c r="D24" s="144" t="n">
        <v>5896727</v>
      </c>
      <c r="E24" s="144" t="n">
        <v>9987150</v>
      </c>
      <c r="F24" s="144" t="n">
        <v>4591574</v>
      </c>
      <c r="G24" s="144" t="n">
        <v>3955890</v>
      </c>
      <c r="H24" s="144" t="n">
        <v>3891199</v>
      </c>
      <c r="P24" s="0" t="str">
        <f aca="false">IF(A24="","",SUBSTITUTE(A24," ",""))</f>
        <v>보험료</v>
      </c>
      <c r="Q24" s="0" t="str">
        <f aca="false">IF(A24="","",P24&amp;"|"&amp;COUNTIF($P$2:P24,P24))</f>
        <v>보험료|1</v>
      </c>
    </row>
    <row r="25" customFormat="false" ht="13.5" hidden="false" customHeight="true" outlineLevel="0" collapsed="false">
      <c r="A25" s="139" t="s">
        <v>160</v>
      </c>
      <c r="B25" s="144" t="n">
        <v>115780294</v>
      </c>
      <c r="C25" s="144" t="n">
        <v>16936992</v>
      </c>
      <c r="D25" s="144" t="n">
        <v>22883144</v>
      </c>
      <c r="E25" s="144" t="n">
        <v>18056953</v>
      </c>
      <c r="F25" s="144" t="n">
        <v>20489068</v>
      </c>
      <c r="G25" s="144" t="n">
        <v>18675432</v>
      </c>
      <c r="H25" s="144" t="n">
        <v>18738705</v>
      </c>
      <c r="P25" s="0" t="str">
        <f aca="false">IF(A25="","",SUBSTITUTE(A25," ",""))</f>
        <v>차량유지비</v>
      </c>
      <c r="Q25" s="0" t="str">
        <f aca="false">IF(A25="","",P25&amp;"|"&amp;COUNTIF($P$2:P25,P25))</f>
        <v>차량유지비|1</v>
      </c>
    </row>
    <row r="26" customFormat="false" ht="13.5" hidden="false" customHeight="true" outlineLevel="0" collapsed="false">
      <c r="A26" s="139" t="s">
        <v>161</v>
      </c>
      <c r="B26" s="144" t="n">
        <v>14220303</v>
      </c>
      <c r="C26" s="144" t="n">
        <v>3218046</v>
      </c>
      <c r="D26" s="144" t="n">
        <v>1674100</v>
      </c>
      <c r="E26" s="144" t="n">
        <v>2256119</v>
      </c>
      <c r="F26" s="144" t="n">
        <v>1300828</v>
      </c>
      <c r="G26" s="144" t="n">
        <v>1999546</v>
      </c>
      <c r="H26" s="144" t="n">
        <v>3771664</v>
      </c>
      <c r="P26" s="0" t="str">
        <f aca="false">IF(A26="","",SUBSTITUTE(A26," ",""))</f>
        <v>운반비</v>
      </c>
      <c r="Q26" s="0" t="str">
        <f aca="false">IF(A26="","",P26&amp;"|"&amp;COUNTIF($P$2:P26,P26))</f>
        <v>운반비|1</v>
      </c>
    </row>
    <row r="27" customFormat="false" ht="13.5" hidden="false" customHeight="true" outlineLevel="0" collapsed="false">
      <c r="A27" s="139" t="s">
        <v>163</v>
      </c>
      <c r="B27" s="144" t="n">
        <v>9730741</v>
      </c>
      <c r="C27" s="144" t="n">
        <v>1736949</v>
      </c>
      <c r="D27" s="144" t="n">
        <v>1107237</v>
      </c>
      <c r="E27" s="144" t="n">
        <v>1257367</v>
      </c>
      <c r="F27" s="144" t="n">
        <v>1552520</v>
      </c>
      <c r="G27" s="144" t="n">
        <v>3575582</v>
      </c>
      <c r="H27" s="144" t="n">
        <v>501086</v>
      </c>
      <c r="P27" s="0" t="str">
        <f aca="false">IF(A27="","",SUBSTITUTE(A27," ",""))</f>
        <v>소모품비</v>
      </c>
      <c r="Q27" s="0" t="str">
        <f aca="false">IF(A27="","",P27&amp;"|"&amp;COUNTIF($P$2:P27,P27))</f>
        <v>소모품비|1</v>
      </c>
    </row>
    <row r="28" customFormat="false" ht="11.25" hidden="false" customHeight="true" outlineLevel="0" collapsed="false">
      <c r="A28" s="142" t="s">
        <v>164</v>
      </c>
      <c r="B28" s="144" t="n">
        <v>132687653</v>
      </c>
      <c r="C28" s="144" t="n">
        <v>20134912</v>
      </c>
      <c r="D28" s="144" t="n">
        <v>13780580</v>
      </c>
      <c r="E28" s="144" t="n">
        <v>33354398</v>
      </c>
      <c r="F28" s="144" t="n">
        <v>22212442</v>
      </c>
      <c r="G28" s="144" t="n">
        <v>19010498</v>
      </c>
      <c r="H28" s="144" t="n">
        <v>24194823</v>
      </c>
      <c r="P28" s="0" t="str">
        <f aca="false">IF(A28="","",SUBSTITUTE(A28," ",""))</f>
        <v>지급수수료</v>
      </c>
      <c r="Q28" s="0" t="str">
        <f aca="false">IF(A28="","",P28&amp;"|"&amp;COUNTIF($P$2:P28,P28))</f>
        <v>지급수수료|1</v>
      </c>
    </row>
    <row r="29" customFormat="false" ht="13.5" hidden="false" customHeight="true" outlineLevel="0" collapsed="false">
      <c r="A29" s="139" t="s">
        <v>166</v>
      </c>
      <c r="B29" s="144" t="n">
        <v>2647122</v>
      </c>
      <c r="C29" s="144" t="n">
        <v>622432</v>
      </c>
      <c r="D29" s="144" t="n">
        <v>0</v>
      </c>
      <c r="E29" s="144" t="n">
        <v>1173227</v>
      </c>
      <c r="F29" s="144" t="n">
        <v>107803</v>
      </c>
      <c r="G29" s="144" t="n">
        <v>623505</v>
      </c>
      <c r="H29" s="144" t="n">
        <v>120155</v>
      </c>
      <c r="P29" s="0" t="str">
        <f aca="false">IF(A29="","",SUBSTITUTE(A29," ",""))</f>
        <v>수출제비용</v>
      </c>
      <c r="Q29" s="0" t="str">
        <f aca="false">IF(A29="","",P29&amp;"|"&amp;COUNTIF($P$2:P29,P29))</f>
        <v>수출제비용|1</v>
      </c>
    </row>
    <row r="30" customFormat="false" ht="13.5" hidden="false" customHeight="true" outlineLevel="0" collapsed="false">
      <c r="A30" s="139" t="s">
        <v>336</v>
      </c>
      <c r="B30" s="144" t="n">
        <v>1107221378</v>
      </c>
      <c r="C30" s="144" t="n">
        <v>40741916</v>
      </c>
      <c r="D30" s="144" t="n">
        <v>148649732</v>
      </c>
      <c r="E30" s="144" t="n">
        <v>222735445</v>
      </c>
      <c r="F30" s="144" t="n">
        <v>265599223</v>
      </c>
      <c r="G30" s="144" t="n">
        <v>224446491</v>
      </c>
      <c r="H30" s="144" t="n">
        <v>205048571</v>
      </c>
      <c r="P30" s="0" t="str">
        <f aca="false">IF(A30="","",SUBSTITUTE(A30," ",""))</f>
        <v>Ⅴ.영업이익</v>
      </c>
      <c r="Q30" s="0" t="str">
        <f aca="false">IF(A30="","",P30&amp;"|"&amp;COUNTIF($P$2:P30,P30))</f>
        <v>Ⅴ.영업이익|1</v>
      </c>
    </row>
    <row r="31" customFormat="false" ht="11.25" hidden="false" customHeight="true" outlineLevel="0" collapsed="false">
      <c r="A31" s="141" t="s">
        <v>337</v>
      </c>
      <c r="B31" s="144" t="n">
        <v>69774121</v>
      </c>
      <c r="C31" s="144" t="n">
        <v>183178</v>
      </c>
      <c r="D31" s="144" t="n">
        <v>4067</v>
      </c>
      <c r="E31" s="144" t="n">
        <v>7711604</v>
      </c>
      <c r="F31" s="144" t="n">
        <v>48618404</v>
      </c>
      <c r="G31" s="144" t="n">
        <v>4960592</v>
      </c>
      <c r="H31" s="144" t="n">
        <v>8296276</v>
      </c>
      <c r="P31" s="0" t="str">
        <f aca="false">IF(A31="","",SUBSTITUTE(A31," ",""))</f>
        <v>Ⅵ.영업외수익</v>
      </c>
      <c r="Q31" s="0" t="str">
        <f aca="false">IF(A31="","",P31&amp;"|"&amp;COUNTIF($P$2:P31,P31))</f>
        <v>Ⅵ.영업외수익|1</v>
      </c>
    </row>
    <row r="32" customFormat="false" ht="13.5" hidden="false" customHeight="true" outlineLevel="0" collapsed="false">
      <c r="A32" s="139" t="s">
        <v>169</v>
      </c>
      <c r="B32" s="144" t="n">
        <v>66422365</v>
      </c>
      <c r="C32" s="144" t="n">
        <v>3390</v>
      </c>
      <c r="D32" s="144" t="n">
        <v>3275</v>
      </c>
      <c r="E32" s="144" t="n">
        <v>7172802</v>
      </c>
      <c r="F32" s="144" t="n">
        <v>47446400</v>
      </c>
      <c r="G32" s="144" t="n">
        <v>3777023</v>
      </c>
      <c r="H32" s="144" t="n">
        <v>8019475</v>
      </c>
      <c r="P32" s="0" t="str">
        <f aca="false">IF(A32="","",SUBSTITUTE(A32," ",""))</f>
        <v>이자수익</v>
      </c>
      <c r="Q32" s="0" t="str">
        <f aca="false">IF(A32="","",P32&amp;"|"&amp;COUNTIF($P$2:P32,P32))</f>
        <v>이자수익|1</v>
      </c>
    </row>
    <row r="33" customFormat="false" ht="13.5" hidden="false" customHeight="true" outlineLevel="0" collapsed="false">
      <c r="A33" s="142" t="s">
        <v>338</v>
      </c>
      <c r="B33" s="144" t="n">
        <v>726273</v>
      </c>
      <c r="C33" s="144" t="n">
        <v>0</v>
      </c>
      <c r="D33" s="144" t="n">
        <v>0</v>
      </c>
      <c r="E33" s="144" t="n">
        <v>0</v>
      </c>
      <c r="F33" s="144" t="n">
        <v>0</v>
      </c>
      <c r="G33" s="144" t="n">
        <v>726273</v>
      </c>
      <c r="H33" s="144" t="n">
        <v>0</v>
      </c>
      <c r="P33" s="0" t="str">
        <f aca="false">IF(A33="","",SUBSTITUTE(A33," ",""))</f>
        <v>유형자산처분이익</v>
      </c>
      <c r="Q33" s="0" t="str">
        <f aca="false">IF(A33="","",P33&amp;"|"&amp;COUNTIF($P$2:P33,P33))</f>
        <v>유형자산처분이익|1</v>
      </c>
    </row>
    <row r="34" customFormat="false" ht="13.5" hidden="false" customHeight="true" outlineLevel="0" collapsed="false">
      <c r="A34" s="142" t="s">
        <v>175</v>
      </c>
      <c r="B34" s="144" t="n">
        <v>2625483</v>
      </c>
      <c r="C34" s="144" t="n">
        <v>179788</v>
      </c>
      <c r="D34" s="144" t="n">
        <v>792</v>
      </c>
      <c r="E34" s="144" t="n">
        <v>538802</v>
      </c>
      <c r="F34" s="144" t="n">
        <v>1172004</v>
      </c>
      <c r="G34" s="144" t="n">
        <v>457296</v>
      </c>
      <c r="H34" s="144" t="n">
        <v>276801</v>
      </c>
      <c r="P34" s="0" t="str">
        <f aca="false">IF(A34="","",SUBSTITUTE(A34," ",""))</f>
        <v>잡이익</v>
      </c>
      <c r="Q34" s="0" t="str">
        <f aca="false">IF(A34="","",P34&amp;"|"&amp;COUNTIF($P$2:P34,P34))</f>
        <v>잡이익|1</v>
      </c>
    </row>
    <row r="35" customFormat="false" ht="13.5" hidden="false" customHeight="true" outlineLevel="0" collapsed="false">
      <c r="A35" s="139" t="s">
        <v>339</v>
      </c>
      <c r="B35" s="144" t="n">
        <v>32848988</v>
      </c>
      <c r="C35" s="144" t="n">
        <v>2266</v>
      </c>
      <c r="D35" s="144" t="n">
        <v>70000</v>
      </c>
      <c r="E35" s="144" t="n">
        <v>115888</v>
      </c>
      <c r="F35" s="144" t="n">
        <v>32628834</v>
      </c>
      <c r="G35" s="144" t="n">
        <v>32000</v>
      </c>
      <c r="H35" s="144" t="n">
        <v>0</v>
      </c>
      <c r="P35" s="0" t="str">
        <f aca="false">IF(A35="","",SUBSTITUTE(A35," ",""))</f>
        <v>Ⅶ.영업외비용</v>
      </c>
      <c r="Q35" s="0" t="str">
        <f aca="false">IF(A35="","",P35&amp;"|"&amp;COUNTIF($P$2:P35,P35))</f>
        <v>Ⅶ.영업외비용|1</v>
      </c>
    </row>
    <row r="36" customFormat="false" ht="13.5" hidden="false" customHeight="true" outlineLevel="0" collapsed="false">
      <c r="A36" s="139" t="s">
        <v>178</v>
      </c>
      <c r="B36" s="144" t="n">
        <v>1277008</v>
      </c>
      <c r="C36" s="144" t="n">
        <v>2266</v>
      </c>
      <c r="D36" s="144" t="n">
        <v>0</v>
      </c>
      <c r="E36" s="144" t="n">
        <v>3888</v>
      </c>
      <c r="F36" s="144" t="n">
        <v>1270854</v>
      </c>
      <c r="G36" s="144" t="n">
        <v>0</v>
      </c>
      <c r="H36" s="144" t="n">
        <v>0</v>
      </c>
      <c r="P36" s="0" t="str">
        <f aca="false">IF(A36="","",SUBSTITUTE(A36," ",""))</f>
        <v>외환차손</v>
      </c>
      <c r="Q36" s="0" t="str">
        <f aca="false">IF(A36="","",P36&amp;"|"&amp;COUNTIF($P$2:P36,P36))</f>
        <v>외환차손|1</v>
      </c>
    </row>
    <row r="37" customFormat="false" ht="13.5" hidden="false" customHeight="true" outlineLevel="0" collapsed="false">
      <c r="A37" s="139" t="s">
        <v>182</v>
      </c>
      <c r="B37" s="144" t="n">
        <v>214000</v>
      </c>
      <c r="C37" s="144" t="n">
        <v>0</v>
      </c>
      <c r="D37" s="144" t="n">
        <v>70000</v>
      </c>
      <c r="E37" s="144" t="n">
        <v>112000</v>
      </c>
      <c r="F37" s="144" t="n">
        <v>0</v>
      </c>
      <c r="G37" s="144" t="n">
        <v>32000</v>
      </c>
      <c r="H37" s="144" t="n">
        <v>0</v>
      </c>
      <c r="P37" s="0" t="str">
        <f aca="false">IF(A37="","",SUBSTITUTE(A37," ",""))</f>
        <v>잡손실</v>
      </c>
      <c r="Q37" s="0" t="str">
        <f aca="false">IF(A37="","",P37&amp;"|"&amp;COUNTIF($P$2:P37,P37))</f>
        <v>잡손실|1</v>
      </c>
    </row>
    <row r="38" customFormat="false" ht="11.25" hidden="false" customHeight="true" outlineLevel="0" collapsed="false">
      <c r="A38" s="142" t="s">
        <v>183</v>
      </c>
      <c r="B38" s="144" t="n">
        <v>31357980</v>
      </c>
      <c r="C38" s="144" t="n">
        <v>0</v>
      </c>
      <c r="D38" s="144" t="n">
        <v>0</v>
      </c>
      <c r="E38" s="144" t="n">
        <v>0</v>
      </c>
      <c r="F38" s="144" t="n">
        <v>31357980</v>
      </c>
      <c r="G38" s="144" t="n">
        <v>0</v>
      </c>
      <c r="H38" s="144" t="n">
        <v>0</v>
      </c>
      <c r="P38" s="0" t="str">
        <f aca="false">IF(A38="","",SUBSTITUTE(A38," ",""))</f>
        <v>법인세추납액</v>
      </c>
      <c r="Q38" s="0" t="str">
        <f aca="false">IF(A38="","",P38&amp;"|"&amp;COUNTIF($P$2:P38,P38))</f>
        <v>법인세추납액|1</v>
      </c>
    </row>
    <row r="39" customFormat="false" ht="13.5" hidden="false" customHeight="true" outlineLevel="0" collapsed="false">
      <c r="A39" s="139" t="s">
        <v>340</v>
      </c>
      <c r="B39" s="144" t="n">
        <v>1144146511</v>
      </c>
      <c r="C39" s="144" t="n">
        <v>40922828</v>
      </c>
      <c r="D39" s="144" t="n">
        <v>148583799</v>
      </c>
      <c r="E39" s="144" t="n">
        <v>230331161</v>
      </c>
      <c r="F39" s="144" t="n">
        <v>281588793</v>
      </c>
      <c r="G39" s="144" t="n">
        <v>229375083</v>
      </c>
      <c r="H39" s="144" t="n">
        <v>213344847</v>
      </c>
      <c r="P39" s="0" t="str">
        <f aca="false">IF(A39="","",SUBSTITUTE(A39," ",""))</f>
        <v>Ⅷ.법인세비용차감전순이익</v>
      </c>
      <c r="Q39" s="0" t="str">
        <f aca="false">IF(A39="","",P39&amp;"|"&amp;COUNTIF($P$2:P39,P39))</f>
        <v>Ⅷ.법인세비용차감전순이익|1</v>
      </c>
    </row>
    <row r="40" customFormat="false" ht="13.5" hidden="false" customHeight="true" outlineLevel="0" collapsed="false">
      <c r="A40" s="141" t="s">
        <v>341</v>
      </c>
      <c r="B40" s="144" t="n">
        <v>0</v>
      </c>
      <c r="C40" s="144" t="n">
        <v>0</v>
      </c>
      <c r="D40" s="144" t="n">
        <v>0</v>
      </c>
      <c r="E40" s="144" t="n">
        <v>0</v>
      </c>
      <c r="F40" s="144" t="n">
        <v>0</v>
      </c>
      <c r="G40" s="144" t="n">
        <v>0</v>
      </c>
      <c r="H40" s="144" t="n">
        <v>0</v>
      </c>
      <c r="P40" s="0" t="str">
        <f aca="false">IF(A40="","",SUBSTITUTE(A40," ",""))</f>
        <v>Ⅸ.법인세비용</v>
      </c>
      <c r="Q40" s="0" t="str">
        <f aca="false">IF(A40="","",P40&amp;"|"&amp;COUNTIF($P$2:P40,P40))</f>
        <v>Ⅸ.법인세비용|1</v>
      </c>
    </row>
    <row r="41" customFormat="false" ht="11.25" hidden="false" customHeight="true" outlineLevel="0" collapsed="false">
      <c r="A41" s="141" t="s">
        <v>342</v>
      </c>
      <c r="B41" s="144" t="n">
        <v>1144146511</v>
      </c>
      <c r="C41" s="144" t="n">
        <v>40922828</v>
      </c>
      <c r="D41" s="144" t="n">
        <v>148583799</v>
      </c>
      <c r="E41" s="144" t="n">
        <v>230331161</v>
      </c>
      <c r="F41" s="144" t="n">
        <v>281588793</v>
      </c>
      <c r="G41" s="144" t="n">
        <v>229375083</v>
      </c>
      <c r="H41" s="144" t="n">
        <v>213344847</v>
      </c>
      <c r="P41" s="0" t="str">
        <f aca="false">IF(A41="","",SUBSTITUTE(A41," ",""))</f>
        <v>Ⅹ.당기순이익</v>
      </c>
      <c r="Q41" s="0" t="str">
        <f aca="false">IF(A41="","",P41&amp;"|"&amp;COUNTIF($P$2:P41,P41))</f>
        <v>Ⅹ.당기순이익|1</v>
      </c>
    </row>
    <row r="42" customFormat="false" ht="13.5" hidden="false" customHeight="true" outlineLevel="0" collapsed="false">
      <c r="A42" s="139"/>
      <c r="B42" s="144"/>
      <c r="C42" s="144"/>
      <c r="D42" s="144"/>
      <c r="E42" s="144"/>
      <c r="F42" s="144"/>
      <c r="G42" s="144"/>
      <c r="H42" s="144"/>
    </row>
    <row r="43" customFormat="false" ht="13.5" hidden="false" customHeight="true" outlineLevel="0" collapsed="false">
      <c r="A43" s="139"/>
      <c r="B43" s="144"/>
      <c r="C43" s="144"/>
      <c r="D43" s="144"/>
      <c r="E43" s="144"/>
      <c r="F43" s="144"/>
      <c r="G43" s="144"/>
      <c r="H43" s="144"/>
    </row>
    <row r="44" customFormat="false" ht="13.5" hidden="false" customHeight="true" outlineLevel="0" collapsed="false">
      <c r="A44" s="139"/>
      <c r="B44" s="144"/>
      <c r="C44" s="144"/>
      <c r="D44" s="144"/>
      <c r="E44" s="144"/>
      <c r="F44" s="144"/>
      <c r="G44" s="144"/>
      <c r="H44" s="144"/>
    </row>
    <row r="45" customFormat="false" ht="11.25" hidden="false" customHeight="true" outlineLevel="0" collapsed="false">
      <c r="A45" s="141"/>
      <c r="B45" s="144"/>
      <c r="C45" s="144"/>
      <c r="D45" s="144"/>
      <c r="E45" s="144"/>
      <c r="F45" s="144"/>
      <c r="G45" s="144"/>
      <c r="H45" s="144"/>
    </row>
    <row r="46" customFormat="false" ht="13.5" hidden="false" customHeight="true" outlineLevel="0" collapsed="false">
      <c r="A46" s="141"/>
      <c r="B46" s="144"/>
      <c r="C46" s="144"/>
      <c r="D46" s="144"/>
      <c r="E46" s="144"/>
      <c r="F46" s="144"/>
      <c r="G46" s="144"/>
      <c r="H46" s="144"/>
    </row>
    <row r="47" customFormat="false" ht="13.5" hidden="false" customHeight="true" outlineLevel="0" collapsed="false">
      <c r="A47" s="141"/>
      <c r="B47" s="144"/>
      <c r="C47" s="144"/>
      <c r="D47" s="144"/>
      <c r="E47" s="144"/>
      <c r="F47" s="144"/>
      <c r="G47" s="144"/>
      <c r="H47" s="144"/>
    </row>
    <row r="48" customFormat="false" ht="13.5" hidden="false" customHeight="true" outlineLevel="0" collapsed="false">
      <c r="A48" s="141"/>
      <c r="B48" s="144"/>
      <c r="C48" s="144"/>
      <c r="D48" s="144"/>
      <c r="E48" s="144"/>
      <c r="F48" s="144"/>
      <c r="G48" s="144"/>
      <c r="H48" s="144"/>
    </row>
    <row r="49" customFormat="false" ht="11.25" hidden="false" customHeight="true" outlineLevel="0" collapsed="false"/>
    <row r="50" customFormat="false" ht="11.25" hidden="false" customHeight="true" outlineLevel="0" collapsed="false"/>
    <row r="51" customFormat="false" ht="11.25" hidden="false" customHeight="true" outlineLevel="0" collapsed="false"/>
    <row r="52" customFormat="false" ht="11.25" hidden="false" customHeight="true" outlineLevel="0" collapsed="false"/>
    <row r="53" customFormat="false" ht="11.25" hidden="false" customHeight="true" outlineLevel="0" collapsed="false"/>
    <row r="54" customFormat="false" ht="11.25" hidden="false" customHeight="true" outlineLevel="0" collapsed="false"/>
    <row r="55" customFormat="false" ht="11.25" hidden="false" customHeight="true" outlineLevel="0" collapsed="false"/>
    <row r="56" customFormat="false" ht="11.25" hidden="false" customHeight="true" outlineLevel="0" collapsed="false"/>
    <row r="57" customFormat="false" ht="11.25" hidden="false" customHeight="true" outlineLevel="0" collapsed="false"/>
    <row r="58" customFormat="false" ht="11.25" hidden="false" customHeight="true" outlineLevel="0" collapsed="false"/>
    <row r="59" customFormat="false" ht="11.25" hidden="false" customHeight="true" outlineLevel="0" collapsed="false"/>
    <row r="60" customFormat="false" ht="11.25" hidden="false" customHeight="true" outlineLevel="0" collapsed="false"/>
    <row r="61" customFormat="false" ht="11.25" hidden="false" customHeight="true" outlineLevel="0" collapsed="false"/>
    <row r="62" customFormat="false" ht="11.25" hidden="false" customHeight="true" outlineLevel="0" collapsed="false"/>
    <row r="63" customFormat="false" ht="11.25" hidden="false" customHeight="true" outlineLevel="0" collapsed="false"/>
    <row r="64" customFormat="false" ht="11.25" hidden="false" customHeight="true" outlineLevel="0" collapsed="false"/>
    <row r="65" customFormat="false" ht="11.25" hidden="false" customHeight="true" outlineLevel="0" collapsed="false"/>
    <row r="66" customFormat="false" ht="11.25" hidden="false" customHeight="true" outlineLevel="0" collapsed="false"/>
    <row r="67" customFormat="false" ht="11.25" hidden="false" customHeight="true" outlineLevel="0" collapsed="false"/>
    <row r="68" customFormat="false" ht="11.25" hidden="false" customHeight="true" outlineLevel="0" collapsed="false"/>
    <row r="69" customFormat="false" ht="11.25" hidden="false" customHeight="true" outlineLevel="0" collapsed="false"/>
    <row r="70" customFormat="false" ht="11.25" hidden="false" customHeight="true" outlineLevel="0" collapsed="false"/>
    <row r="71" customFormat="false" ht="11.25" hidden="false" customHeight="true" outlineLevel="0" collapsed="false"/>
    <row r="72" customFormat="false" ht="11.25" hidden="false" customHeight="true" outlineLevel="0" collapsed="false"/>
    <row r="73" customFormat="false" ht="11.25" hidden="false" customHeight="true" outlineLevel="0" collapsed="false"/>
    <row r="74" customFormat="false" ht="11.25" hidden="false" customHeight="true" outlineLevel="0" collapsed="false"/>
    <row r="75" customFormat="false" ht="11.25" hidden="false" customHeight="true" outlineLevel="0" collapsed="false"/>
    <row r="76" customFormat="false" ht="11.25" hidden="false" customHeight="true" outlineLevel="0" collapsed="false"/>
    <row r="77" customFormat="false" ht="11.25" hidden="false" customHeight="true" outlineLevel="0" collapsed="false"/>
    <row r="78" customFormat="false" ht="11.25" hidden="false" customHeight="true" outlineLevel="0" collapsed="false"/>
    <row r="79" customFormat="false" ht="11.25" hidden="false" customHeight="true" outlineLevel="0" collapsed="false"/>
    <row r="80" customFormat="false" ht="11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3" activeCellId="0" sqref="P3"/>
    </sheetView>
  </sheetViews>
  <sheetFormatPr defaultColWidth="15.3359375" defaultRowHeight="11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5.17"/>
    <col collapsed="false" customWidth="true" hidden="false" outlineLevel="0" max="14" min="4" style="0" width="20"/>
    <col collapsed="false" customWidth="true" hidden="false" outlineLevel="0" max="16" min="15" style="0" width="13"/>
    <col collapsed="false" customWidth="true" hidden="false" outlineLevel="0" max="254" min="254" style="0" width="30"/>
    <col collapsed="false" customWidth="true" hidden="false" outlineLevel="0" max="260" min="255" style="0" width="20"/>
    <col collapsed="false" customWidth="true" hidden="false" outlineLevel="0" max="510" min="510" style="0" width="30"/>
    <col collapsed="false" customWidth="true" hidden="false" outlineLevel="0" max="516" min="511" style="0" width="20"/>
    <col collapsed="false" customWidth="true" hidden="false" outlineLevel="0" max="766" min="766" style="0" width="30"/>
    <col collapsed="false" customWidth="true" hidden="false" outlineLevel="0" max="772" min="767" style="0" width="20"/>
    <col collapsed="false" customWidth="true" hidden="false" outlineLevel="0" max="1022" min="1022" style="0" width="30"/>
    <col collapsed="false" customWidth="true" hidden="false" outlineLevel="0" max="1028" min="1023" style="0" width="20"/>
    <col collapsed="false" customWidth="true" hidden="false" outlineLevel="0" max="1278" min="1278" style="0" width="30"/>
    <col collapsed="false" customWidth="true" hidden="false" outlineLevel="0" max="1284" min="1279" style="0" width="20"/>
    <col collapsed="false" customWidth="true" hidden="false" outlineLevel="0" max="1534" min="1534" style="0" width="30"/>
    <col collapsed="false" customWidth="true" hidden="false" outlineLevel="0" max="1540" min="1535" style="0" width="20"/>
    <col collapsed="false" customWidth="true" hidden="false" outlineLevel="0" max="1790" min="1790" style="0" width="30"/>
    <col collapsed="false" customWidth="true" hidden="false" outlineLevel="0" max="1796" min="1791" style="0" width="20"/>
    <col collapsed="false" customWidth="true" hidden="false" outlineLevel="0" max="2046" min="2046" style="0" width="30"/>
    <col collapsed="false" customWidth="true" hidden="false" outlineLevel="0" max="2052" min="2047" style="0" width="20"/>
    <col collapsed="false" customWidth="true" hidden="false" outlineLevel="0" max="2302" min="2302" style="0" width="30"/>
    <col collapsed="false" customWidth="true" hidden="false" outlineLevel="0" max="2308" min="2303" style="0" width="20"/>
    <col collapsed="false" customWidth="true" hidden="false" outlineLevel="0" max="2558" min="2558" style="0" width="30"/>
    <col collapsed="false" customWidth="true" hidden="false" outlineLevel="0" max="2564" min="2559" style="0" width="20"/>
    <col collapsed="false" customWidth="true" hidden="false" outlineLevel="0" max="2814" min="2814" style="0" width="30"/>
    <col collapsed="false" customWidth="true" hidden="false" outlineLevel="0" max="2820" min="2815" style="0" width="20"/>
    <col collapsed="false" customWidth="true" hidden="false" outlineLevel="0" max="3070" min="3070" style="0" width="30"/>
    <col collapsed="false" customWidth="true" hidden="false" outlineLevel="0" max="3076" min="3071" style="0" width="20"/>
    <col collapsed="false" customWidth="true" hidden="false" outlineLevel="0" max="3326" min="3326" style="0" width="30"/>
    <col collapsed="false" customWidth="true" hidden="false" outlineLevel="0" max="3332" min="3327" style="0" width="20"/>
    <col collapsed="false" customWidth="true" hidden="false" outlineLevel="0" max="3582" min="3582" style="0" width="30"/>
    <col collapsed="false" customWidth="true" hidden="false" outlineLevel="0" max="3588" min="3583" style="0" width="20"/>
    <col collapsed="false" customWidth="true" hidden="false" outlineLevel="0" max="3838" min="3838" style="0" width="30"/>
    <col collapsed="false" customWidth="true" hidden="false" outlineLevel="0" max="3844" min="3839" style="0" width="20"/>
    <col collapsed="false" customWidth="true" hidden="false" outlineLevel="0" max="4094" min="4094" style="0" width="30"/>
    <col collapsed="false" customWidth="true" hidden="false" outlineLevel="0" max="4100" min="4095" style="0" width="20"/>
    <col collapsed="false" customWidth="true" hidden="false" outlineLevel="0" max="4350" min="4350" style="0" width="30"/>
    <col collapsed="false" customWidth="true" hidden="false" outlineLevel="0" max="4356" min="4351" style="0" width="20"/>
    <col collapsed="false" customWidth="true" hidden="false" outlineLevel="0" max="4606" min="4606" style="0" width="30"/>
    <col collapsed="false" customWidth="true" hidden="false" outlineLevel="0" max="4612" min="4607" style="0" width="20"/>
    <col collapsed="false" customWidth="true" hidden="false" outlineLevel="0" max="4862" min="4862" style="0" width="30"/>
    <col collapsed="false" customWidth="true" hidden="false" outlineLevel="0" max="4868" min="4863" style="0" width="20"/>
    <col collapsed="false" customWidth="true" hidden="false" outlineLevel="0" max="5118" min="5118" style="0" width="30"/>
    <col collapsed="false" customWidth="true" hidden="false" outlineLevel="0" max="5124" min="5119" style="0" width="20"/>
    <col collapsed="false" customWidth="true" hidden="false" outlineLevel="0" max="5374" min="5374" style="0" width="30"/>
    <col collapsed="false" customWidth="true" hidden="false" outlineLevel="0" max="5380" min="5375" style="0" width="20"/>
    <col collapsed="false" customWidth="true" hidden="false" outlineLevel="0" max="5630" min="5630" style="0" width="30"/>
    <col collapsed="false" customWidth="true" hidden="false" outlineLevel="0" max="5636" min="5631" style="0" width="20"/>
    <col collapsed="false" customWidth="true" hidden="false" outlineLevel="0" max="5886" min="5886" style="0" width="30"/>
    <col collapsed="false" customWidth="true" hidden="false" outlineLevel="0" max="5892" min="5887" style="0" width="20"/>
    <col collapsed="false" customWidth="true" hidden="false" outlineLevel="0" max="6142" min="6142" style="0" width="30"/>
    <col collapsed="false" customWidth="true" hidden="false" outlineLevel="0" max="6148" min="6143" style="0" width="20"/>
    <col collapsed="false" customWidth="true" hidden="false" outlineLevel="0" max="6398" min="6398" style="0" width="30"/>
    <col collapsed="false" customWidth="true" hidden="false" outlineLevel="0" max="6404" min="6399" style="0" width="20"/>
    <col collapsed="false" customWidth="true" hidden="false" outlineLevel="0" max="6654" min="6654" style="0" width="30"/>
    <col collapsed="false" customWidth="true" hidden="false" outlineLevel="0" max="6660" min="6655" style="0" width="20"/>
    <col collapsed="false" customWidth="true" hidden="false" outlineLevel="0" max="6910" min="6910" style="0" width="30"/>
    <col collapsed="false" customWidth="true" hidden="false" outlineLevel="0" max="6916" min="6911" style="0" width="20"/>
    <col collapsed="false" customWidth="true" hidden="false" outlineLevel="0" max="7166" min="7166" style="0" width="30"/>
    <col collapsed="false" customWidth="true" hidden="false" outlineLevel="0" max="7172" min="7167" style="0" width="20"/>
    <col collapsed="false" customWidth="true" hidden="false" outlineLevel="0" max="7422" min="7422" style="0" width="30"/>
    <col collapsed="false" customWidth="true" hidden="false" outlineLevel="0" max="7428" min="7423" style="0" width="20"/>
    <col collapsed="false" customWidth="true" hidden="false" outlineLevel="0" max="7678" min="7678" style="0" width="30"/>
    <col collapsed="false" customWidth="true" hidden="false" outlineLevel="0" max="7684" min="7679" style="0" width="20"/>
    <col collapsed="false" customWidth="true" hidden="false" outlineLevel="0" max="7934" min="7934" style="0" width="30"/>
    <col collapsed="false" customWidth="true" hidden="false" outlineLevel="0" max="7940" min="7935" style="0" width="20"/>
    <col collapsed="false" customWidth="true" hidden="false" outlineLevel="0" max="8190" min="8190" style="0" width="30"/>
    <col collapsed="false" customWidth="true" hidden="false" outlineLevel="0" max="8196" min="8191" style="0" width="20"/>
    <col collapsed="false" customWidth="true" hidden="false" outlineLevel="0" max="8446" min="8446" style="0" width="30"/>
    <col collapsed="false" customWidth="true" hidden="false" outlineLevel="0" max="8452" min="8447" style="0" width="20"/>
    <col collapsed="false" customWidth="true" hidden="false" outlineLevel="0" max="8702" min="8702" style="0" width="30"/>
    <col collapsed="false" customWidth="true" hidden="false" outlineLevel="0" max="8708" min="8703" style="0" width="20"/>
    <col collapsed="false" customWidth="true" hidden="false" outlineLevel="0" max="8958" min="8958" style="0" width="30"/>
    <col collapsed="false" customWidth="true" hidden="false" outlineLevel="0" max="8964" min="8959" style="0" width="20"/>
    <col collapsed="false" customWidth="true" hidden="false" outlineLevel="0" max="9214" min="9214" style="0" width="30"/>
    <col collapsed="false" customWidth="true" hidden="false" outlineLevel="0" max="9220" min="9215" style="0" width="20"/>
    <col collapsed="false" customWidth="true" hidden="false" outlineLevel="0" max="9470" min="9470" style="0" width="30"/>
    <col collapsed="false" customWidth="true" hidden="false" outlineLevel="0" max="9476" min="9471" style="0" width="20"/>
    <col collapsed="false" customWidth="true" hidden="false" outlineLevel="0" max="9726" min="9726" style="0" width="30"/>
    <col collapsed="false" customWidth="true" hidden="false" outlineLevel="0" max="9732" min="9727" style="0" width="20"/>
    <col collapsed="false" customWidth="true" hidden="false" outlineLevel="0" max="9982" min="9982" style="0" width="30"/>
    <col collapsed="false" customWidth="true" hidden="false" outlineLevel="0" max="9988" min="9983" style="0" width="20"/>
    <col collapsed="false" customWidth="true" hidden="false" outlineLevel="0" max="10238" min="10238" style="0" width="30"/>
    <col collapsed="false" customWidth="true" hidden="false" outlineLevel="0" max="10244" min="10239" style="0" width="20"/>
    <col collapsed="false" customWidth="true" hidden="false" outlineLevel="0" max="10494" min="10494" style="0" width="30"/>
    <col collapsed="false" customWidth="true" hidden="false" outlineLevel="0" max="10500" min="10495" style="0" width="20"/>
    <col collapsed="false" customWidth="true" hidden="false" outlineLevel="0" max="10750" min="10750" style="0" width="30"/>
    <col collapsed="false" customWidth="true" hidden="false" outlineLevel="0" max="10756" min="10751" style="0" width="20"/>
    <col collapsed="false" customWidth="true" hidden="false" outlineLevel="0" max="11006" min="11006" style="0" width="30"/>
    <col collapsed="false" customWidth="true" hidden="false" outlineLevel="0" max="11012" min="11007" style="0" width="20"/>
    <col collapsed="false" customWidth="true" hidden="false" outlineLevel="0" max="11262" min="11262" style="0" width="30"/>
    <col collapsed="false" customWidth="true" hidden="false" outlineLevel="0" max="11268" min="11263" style="0" width="20"/>
    <col collapsed="false" customWidth="true" hidden="false" outlineLevel="0" max="11518" min="11518" style="0" width="30"/>
    <col collapsed="false" customWidth="true" hidden="false" outlineLevel="0" max="11524" min="11519" style="0" width="20"/>
    <col collapsed="false" customWidth="true" hidden="false" outlineLevel="0" max="11774" min="11774" style="0" width="30"/>
    <col collapsed="false" customWidth="true" hidden="false" outlineLevel="0" max="11780" min="11775" style="0" width="20"/>
    <col collapsed="false" customWidth="true" hidden="false" outlineLevel="0" max="12030" min="12030" style="0" width="30"/>
    <col collapsed="false" customWidth="true" hidden="false" outlineLevel="0" max="12036" min="12031" style="0" width="20"/>
    <col collapsed="false" customWidth="true" hidden="false" outlineLevel="0" max="12286" min="12286" style="0" width="30"/>
    <col collapsed="false" customWidth="true" hidden="false" outlineLevel="0" max="12292" min="12287" style="0" width="20"/>
    <col collapsed="false" customWidth="true" hidden="false" outlineLevel="0" max="12542" min="12542" style="0" width="30"/>
    <col collapsed="false" customWidth="true" hidden="false" outlineLevel="0" max="12548" min="12543" style="0" width="20"/>
    <col collapsed="false" customWidth="true" hidden="false" outlineLevel="0" max="12798" min="12798" style="0" width="30"/>
    <col collapsed="false" customWidth="true" hidden="false" outlineLevel="0" max="12804" min="12799" style="0" width="20"/>
    <col collapsed="false" customWidth="true" hidden="false" outlineLevel="0" max="13054" min="13054" style="0" width="30"/>
    <col collapsed="false" customWidth="true" hidden="false" outlineLevel="0" max="13060" min="13055" style="0" width="20"/>
    <col collapsed="false" customWidth="true" hidden="false" outlineLevel="0" max="13310" min="13310" style="0" width="30"/>
    <col collapsed="false" customWidth="true" hidden="false" outlineLevel="0" max="13316" min="13311" style="0" width="20"/>
    <col collapsed="false" customWidth="true" hidden="false" outlineLevel="0" max="13566" min="13566" style="0" width="30"/>
    <col collapsed="false" customWidth="true" hidden="false" outlineLevel="0" max="13572" min="13567" style="0" width="20"/>
    <col collapsed="false" customWidth="true" hidden="false" outlineLevel="0" max="13822" min="13822" style="0" width="30"/>
    <col collapsed="false" customWidth="true" hidden="false" outlineLevel="0" max="13828" min="13823" style="0" width="20"/>
    <col collapsed="false" customWidth="true" hidden="false" outlineLevel="0" max="14078" min="14078" style="0" width="30"/>
    <col collapsed="false" customWidth="true" hidden="false" outlineLevel="0" max="14084" min="14079" style="0" width="20"/>
    <col collapsed="false" customWidth="true" hidden="false" outlineLevel="0" max="14334" min="14334" style="0" width="30"/>
    <col collapsed="false" customWidth="true" hidden="false" outlineLevel="0" max="14340" min="14335" style="0" width="20"/>
    <col collapsed="false" customWidth="true" hidden="false" outlineLevel="0" max="14590" min="14590" style="0" width="30"/>
    <col collapsed="false" customWidth="true" hidden="false" outlineLevel="0" max="14596" min="14591" style="0" width="20"/>
    <col collapsed="false" customWidth="true" hidden="false" outlineLevel="0" max="14846" min="14846" style="0" width="30"/>
    <col collapsed="false" customWidth="true" hidden="false" outlineLevel="0" max="14852" min="14847" style="0" width="20"/>
    <col collapsed="false" customWidth="true" hidden="false" outlineLevel="0" max="15102" min="15102" style="0" width="30"/>
    <col collapsed="false" customWidth="true" hidden="false" outlineLevel="0" max="15108" min="15103" style="0" width="20"/>
    <col collapsed="false" customWidth="true" hidden="false" outlineLevel="0" max="15358" min="15358" style="0" width="30"/>
    <col collapsed="false" customWidth="true" hidden="false" outlineLevel="0" max="15364" min="15359" style="0" width="20"/>
    <col collapsed="false" customWidth="true" hidden="false" outlineLevel="0" max="15614" min="15614" style="0" width="30"/>
    <col collapsed="false" customWidth="true" hidden="false" outlineLevel="0" max="15620" min="15615" style="0" width="20"/>
    <col collapsed="false" customWidth="true" hidden="false" outlineLevel="0" max="15870" min="15870" style="0" width="30"/>
    <col collapsed="false" customWidth="true" hidden="false" outlineLevel="0" max="15876" min="15871" style="0" width="20"/>
    <col collapsed="false" customWidth="true" hidden="false" outlineLevel="0" max="16126" min="16126" style="0" width="30"/>
    <col collapsed="false" customWidth="true" hidden="false" outlineLevel="0" max="16132" min="16127" style="0" width="20"/>
  </cols>
  <sheetData>
    <row r="1" customFormat="false" ht="16.5" hidden="false" customHeight="true" outlineLevel="0" collapsed="false">
      <c r="A1" s="138" t="s">
        <v>47</v>
      </c>
      <c r="B1" s="138" t="s">
        <v>188</v>
      </c>
      <c r="C1" s="143" t="s">
        <v>326</v>
      </c>
      <c r="D1" s="143" t="s">
        <v>327</v>
      </c>
      <c r="E1" s="143" t="s">
        <v>328</v>
      </c>
      <c r="F1" s="143" t="s">
        <v>329</v>
      </c>
      <c r="G1" s="143" t="s">
        <v>330</v>
      </c>
      <c r="H1" s="143" t="s">
        <v>331</v>
      </c>
      <c r="I1" s="143" t="s">
        <v>343</v>
      </c>
      <c r="J1" s="143" t="s">
        <v>344</v>
      </c>
      <c r="K1" s="143" t="s">
        <v>345</v>
      </c>
      <c r="L1" s="143" t="s">
        <v>346</v>
      </c>
      <c r="M1" s="143" t="s">
        <v>347</v>
      </c>
      <c r="N1" s="143" t="s">
        <v>348</v>
      </c>
    </row>
    <row r="2" customFormat="false" ht="13.5" hidden="false" customHeight="true" outlineLevel="0" collapsed="false">
      <c r="A2" s="141" t="s">
        <v>332</v>
      </c>
      <c r="B2" s="144" t="n">
        <v>16924670011</v>
      </c>
      <c r="C2" s="144" t="n">
        <v>2259822004</v>
      </c>
      <c r="D2" s="144" t="n">
        <v>2611620075</v>
      </c>
      <c r="E2" s="144" t="n">
        <v>3088311293</v>
      </c>
      <c r="F2" s="144" t="n">
        <v>3252016356</v>
      </c>
      <c r="G2" s="144" t="n">
        <v>2900947613</v>
      </c>
      <c r="H2" s="144" t="n">
        <v>2811952670</v>
      </c>
      <c r="I2" s="145"/>
      <c r="J2" s="145"/>
      <c r="K2" s="145"/>
      <c r="L2" s="145"/>
      <c r="M2" s="145"/>
      <c r="N2" s="145"/>
      <c r="O2" s="0" t="str">
        <f aca="false">IF(A2="","",SUBSTITUTE(A2," ",""))</f>
        <v>Ⅰ.매출액</v>
      </c>
      <c r="P2" s="0" t="str">
        <f aca="false">IF(A2="","",O2&amp;"|"&amp;COUNTIF($O$2:O2,O2))</f>
        <v>Ⅰ.매출액|1</v>
      </c>
    </row>
    <row r="3" customFormat="false" ht="13.5" hidden="false" customHeight="true" outlineLevel="0" collapsed="false">
      <c r="A3" s="139" t="s">
        <v>135</v>
      </c>
      <c r="B3" s="144" t="n">
        <v>16811107671</v>
      </c>
      <c r="C3" s="144" t="n">
        <v>2249949486</v>
      </c>
      <c r="D3" s="144" t="n">
        <v>2611620075</v>
      </c>
      <c r="E3" s="144" t="n">
        <v>2987460975</v>
      </c>
      <c r="F3" s="144" t="n">
        <v>3252016356</v>
      </c>
      <c r="G3" s="144" t="n">
        <v>2898108109</v>
      </c>
      <c r="H3" s="144" t="n">
        <v>2811952670</v>
      </c>
      <c r="I3" s="145"/>
      <c r="J3" s="145"/>
      <c r="K3" s="145"/>
      <c r="L3" s="145"/>
      <c r="M3" s="145"/>
      <c r="N3" s="145"/>
      <c r="O3" s="0" t="str">
        <f aca="false">IF(A3="","",SUBSTITUTE(A3," ",""))</f>
        <v>상품매출</v>
      </c>
      <c r="P3" s="0" t="str">
        <f aca="false">IF(A3="","",O3&amp;"|"&amp;COUNTIF($O$2:O3,O3))</f>
        <v>상품매출|1</v>
      </c>
    </row>
    <row r="4" customFormat="false" ht="13.5" hidden="false" customHeight="true" outlineLevel="0" collapsed="false">
      <c r="A4" s="139" t="s">
        <v>136</v>
      </c>
      <c r="B4" s="144" t="n">
        <v>113562340</v>
      </c>
      <c r="C4" s="144" t="n">
        <v>9872518</v>
      </c>
      <c r="D4" s="144" t="n">
        <v>0</v>
      </c>
      <c r="E4" s="144" t="n">
        <v>100850318</v>
      </c>
      <c r="F4" s="144" t="n">
        <v>0</v>
      </c>
      <c r="G4" s="144" t="n">
        <v>2839504</v>
      </c>
      <c r="H4" s="144" t="n">
        <v>0</v>
      </c>
      <c r="I4" s="145"/>
      <c r="J4" s="145"/>
      <c r="K4" s="145"/>
      <c r="L4" s="145"/>
      <c r="M4" s="145"/>
      <c r="N4" s="145"/>
      <c r="O4" s="0" t="str">
        <f aca="false">IF(A4="","",SUBSTITUTE(A4," ",""))</f>
        <v>상품수출매출</v>
      </c>
      <c r="P4" s="0" t="str">
        <f aca="false">IF(A4="","",O4&amp;"|"&amp;COUNTIF($O$2:O4,O4))</f>
        <v>상품수출매출|1</v>
      </c>
    </row>
    <row r="5" customFormat="false" ht="13.5" hidden="false" customHeight="true" outlineLevel="0" collapsed="false">
      <c r="A5" s="141" t="s">
        <v>333</v>
      </c>
      <c r="B5" s="144" t="n">
        <v>14142558811</v>
      </c>
      <c r="C5" s="144" t="n">
        <v>1932310934</v>
      </c>
      <c r="D5" s="144" t="n">
        <v>2202706401</v>
      </c>
      <c r="E5" s="144" t="n">
        <v>2584452050</v>
      </c>
      <c r="F5" s="144" t="n">
        <v>2720044477</v>
      </c>
      <c r="G5" s="144" t="n">
        <v>2408362753</v>
      </c>
      <c r="H5" s="144" t="n">
        <v>2294682196</v>
      </c>
      <c r="I5" s="145"/>
      <c r="J5" s="145"/>
      <c r="K5" s="145"/>
      <c r="L5" s="145"/>
      <c r="M5" s="145"/>
      <c r="N5" s="145"/>
      <c r="O5" s="0" t="str">
        <f aca="false">IF(A5="","",SUBSTITUTE(A5," ",""))</f>
        <v>Ⅱ.매출원가</v>
      </c>
      <c r="P5" s="0" t="str">
        <f aca="false">IF(A5="","",O5&amp;"|"&amp;COUNTIF($O$2:O5,O5))</f>
        <v>Ⅱ.매출원가|1</v>
      </c>
    </row>
    <row r="6" customFormat="false" ht="13.5" hidden="false" customHeight="true" outlineLevel="0" collapsed="false">
      <c r="A6" s="139" t="s">
        <v>138</v>
      </c>
      <c r="B6" s="144" t="n">
        <v>14142558811</v>
      </c>
      <c r="C6" s="144" t="n">
        <v>1932310934</v>
      </c>
      <c r="D6" s="144" t="n">
        <v>2202706401</v>
      </c>
      <c r="E6" s="144" t="n">
        <v>2584452050</v>
      </c>
      <c r="F6" s="144" t="n">
        <v>2720044477</v>
      </c>
      <c r="G6" s="144" t="n">
        <v>2408362753</v>
      </c>
      <c r="H6" s="144" t="n">
        <v>2294682196</v>
      </c>
      <c r="I6" s="145"/>
      <c r="J6" s="145"/>
      <c r="K6" s="145"/>
      <c r="L6" s="145"/>
      <c r="M6" s="145"/>
      <c r="N6" s="145"/>
      <c r="O6" s="0" t="str">
        <f aca="false">IF(A6="","",SUBSTITUTE(A6," ",""))</f>
        <v>상품매출원가</v>
      </c>
      <c r="P6" s="0" t="str">
        <f aca="false">IF(A6="","",O6&amp;"|"&amp;COUNTIF($O$2:O6,O6))</f>
        <v>상품매출원가|1</v>
      </c>
    </row>
    <row r="7" customFormat="false" ht="13.5" hidden="false" customHeight="true" outlineLevel="0" collapsed="false">
      <c r="A7" s="139" t="s">
        <v>139</v>
      </c>
      <c r="B7" s="144" t="n">
        <v>2098835763</v>
      </c>
      <c r="C7" s="144" t="n">
        <v>2098835763</v>
      </c>
      <c r="D7" s="144" t="n">
        <v>2202511203</v>
      </c>
      <c r="E7" s="144" t="n">
        <v>2199480449</v>
      </c>
      <c r="F7" s="144" t="n">
        <v>2215051462</v>
      </c>
      <c r="G7" s="144" t="n">
        <v>2183380286</v>
      </c>
      <c r="H7" s="144" t="n">
        <v>2098118507</v>
      </c>
      <c r="I7" s="145"/>
      <c r="J7" s="145"/>
      <c r="K7" s="145"/>
      <c r="L7" s="145"/>
      <c r="M7" s="145"/>
      <c r="N7" s="145"/>
      <c r="O7" s="0" t="str">
        <f aca="false">IF(A7="","",SUBSTITUTE(A7," ",""))</f>
        <v>기초상품재고액</v>
      </c>
      <c r="P7" s="0" t="str">
        <f aca="false">IF(A7="","",O7&amp;"|"&amp;COUNTIF($O$2:O7,O7))</f>
        <v>기초상품재고액|1</v>
      </c>
    </row>
    <row r="8" customFormat="false" ht="13.5" hidden="false" customHeight="true" outlineLevel="0" collapsed="false">
      <c r="A8" s="139" t="s">
        <v>140</v>
      </c>
      <c r="B8" s="144" t="n">
        <v>14262980978</v>
      </c>
      <c r="C8" s="144" t="n">
        <v>2046901901</v>
      </c>
      <c r="D8" s="144" t="n">
        <v>2207681760</v>
      </c>
      <c r="E8" s="144" t="n">
        <v>2607090450</v>
      </c>
      <c r="F8" s="144" t="n">
        <v>2698904276</v>
      </c>
      <c r="G8" s="144" t="n">
        <v>2335105851</v>
      </c>
      <c r="H8" s="144" t="n">
        <v>2367296740</v>
      </c>
      <c r="I8" s="145"/>
      <c r="J8" s="145"/>
      <c r="K8" s="145"/>
      <c r="L8" s="145"/>
      <c r="M8" s="145"/>
      <c r="N8" s="145"/>
      <c r="O8" s="0" t="str">
        <f aca="false">IF(A8="","",SUBSTITUTE(A8," ",""))</f>
        <v>당기상품매입액</v>
      </c>
      <c r="P8" s="0" t="str">
        <f aca="false">IF(A8="","",O8&amp;"|"&amp;COUNTIF($O$2:O8,O8))</f>
        <v>당기상품매입액|1</v>
      </c>
    </row>
    <row r="9" customFormat="false" ht="13.5" hidden="false" customHeight="true" outlineLevel="0" collapsed="false">
      <c r="A9" s="139" t="s">
        <v>141</v>
      </c>
      <c r="B9" s="144" t="n">
        <v>55192063</v>
      </c>
      <c r="C9" s="144" t="n">
        <v>10915527</v>
      </c>
      <c r="D9" s="144" t="n">
        <v>8006113</v>
      </c>
      <c r="E9" s="144" t="n">
        <v>7067387</v>
      </c>
      <c r="F9" s="144" t="n">
        <v>10530975</v>
      </c>
      <c r="G9" s="144" t="n">
        <v>12004877</v>
      </c>
      <c r="H9" s="144" t="n">
        <v>6667184</v>
      </c>
      <c r="I9" s="145"/>
      <c r="J9" s="145"/>
      <c r="K9" s="145"/>
      <c r="L9" s="145"/>
      <c r="M9" s="145"/>
      <c r="N9" s="145"/>
      <c r="O9" s="0" t="str">
        <f aca="false">IF(A9="","",SUBSTITUTE(A9," ",""))</f>
        <v>매입할인</v>
      </c>
      <c r="P9" s="0" t="str">
        <f aca="false">IF(A9="","",O9&amp;"|"&amp;COUNTIF($O$2:O9,O9))</f>
        <v>매입할인|1</v>
      </c>
    </row>
    <row r="10" customFormat="false" ht="13.5" hidden="false" customHeight="true" outlineLevel="0" collapsed="false">
      <c r="A10" s="139" t="s">
        <v>142</v>
      </c>
      <c r="B10" s="144" t="n">
        <v>2164065867</v>
      </c>
      <c r="C10" s="144" t="n">
        <v>2202511203</v>
      </c>
      <c r="D10" s="144" t="n">
        <v>2199480449</v>
      </c>
      <c r="E10" s="144" t="n">
        <v>2215051462</v>
      </c>
      <c r="F10" s="144" t="n">
        <v>2183380286</v>
      </c>
      <c r="G10" s="144" t="n">
        <v>2098118507</v>
      </c>
      <c r="H10" s="144" t="n">
        <v>2164065867</v>
      </c>
      <c r="I10" s="145"/>
      <c r="J10" s="145"/>
      <c r="K10" s="145"/>
      <c r="L10" s="145"/>
      <c r="M10" s="145"/>
      <c r="N10" s="145"/>
      <c r="O10" s="0" t="str">
        <f aca="false">IF(A10="","",SUBSTITUTE(A10," ",""))</f>
        <v>기말상품재고액</v>
      </c>
      <c r="P10" s="0" t="str">
        <f aca="false">IF(A10="","",O10&amp;"|"&amp;COUNTIF($O$2:O10,O10))</f>
        <v>기말상품재고액|1</v>
      </c>
    </row>
    <row r="11" customFormat="false" ht="13.5" hidden="false" customHeight="true" outlineLevel="0" collapsed="false">
      <c r="A11" s="141" t="s">
        <v>334</v>
      </c>
      <c r="B11" s="144" t="n">
        <v>2782111200</v>
      </c>
      <c r="C11" s="144" t="n">
        <v>327511070</v>
      </c>
      <c r="D11" s="144" t="n">
        <v>408913674</v>
      </c>
      <c r="E11" s="144" t="n">
        <v>503859243</v>
      </c>
      <c r="F11" s="144" t="n">
        <v>531971879</v>
      </c>
      <c r="G11" s="144" t="n">
        <v>492584860</v>
      </c>
      <c r="H11" s="144" t="n">
        <v>517270474</v>
      </c>
      <c r="I11" s="145"/>
      <c r="J11" s="145"/>
      <c r="K11" s="145"/>
      <c r="L11" s="145"/>
      <c r="M11" s="145"/>
      <c r="N11" s="145"/>
      <c r="O11" s="0" t="str">
        <f aca="false">IF(A11="","",SUBSTITUTE(A11," ",""))</f>
        <v>Ⅲ.매출총이익</v>
      </c>
      <c r="P11" s="0" t="str">
        <f aca="false">IF(A11="","",O11&amp;"|"&amp;COUNTIF($O$2:O11,O11))</f>
        <v>Ⅲ.매출총이익|1</v>
      </c>
    </row>
    <row r="12" customFormat="false" ht="13.5" hidden="false" customHeight="true" outlineLevel="0" collapsed="false">
      <c r="A12" s="141" t="s">
        <v>335</v>
      </c>
      <c r="B12" s="144" t="n">
        <v>1674889822</v>
      </c>
      <c r="C12" s="144" t="n">
        <v>286769154</v>
      </c>
      <c r="D12" s="144" t="n">
        <v>260263942</v>
      </c>
      <c r="E12" s="144" t="n">
        <v>281123798</v>
      </c>
      <c r="F12" s="144" t="n">
        <v>266372656</v>
      </c>
      <c r="G12" s="144" t="n">
        <v>268138369</v>
      </c>
      <c r="H12" s="144" t="n">
        <v>312221903</v>
      </c>
      <c r="I12" s="145"/>
      <c r="J12" s="145"/>
      <c r="K12" s="145"/>
      <c r="L12" s="145"/>
      <c r="M12" s="145"/>
      <c r="N12" s="145"/>
      <c r="O12" s="0" t="str">
        <f aca="false">IF(A12="","",SUBSTITUTE(A12," ",""))</f>
        <v>Ⅳ.판매관리비</v>
      </c>
      <c r="P12" s="0" t="str">
        <f aca="false">IF(A12="","",O12&amp;"|"&amp;COUNTIF($O$2:O12,O12))</f>
        <v>Ⅳ.판매관리비|1</v>
      </c>
    </row>
    <row r="13" customFormat="false" ht="13.5" hidden="false" customHeight="true" outlineLevel="0" collapsed="false">
      <c r="A13" s="139" t="s">
        <v>146</v>
      </c>
      <c r="B13" s="144" t="n">
        <v>1005640511</v>
      </c>
      <c r="C13" s="144" t="n">
        <v>159934683</v>
      </c>
      <c r="D13" s="144" t="n">
        <v>160558333</v>
      </c>
      <c r="E13" s="144" t="n">
        <v>162139803</v>
      </c>
      <c r="F13" s="144" t="n">
        <v>159965336</v>
      </c>
      <c r="G13" s="144" t="n">
        <v>156225003</v>
      </c>
      <c r="H13" s="144" t="n">
        <v>206817353</v>
      </c>
      <c r="I13" s="145"/>
      <c r="J13" s="145"/>
      <c r="K13" s="145"/>
      <c r="L13" s="145"/>
      <c r="M13" s="145"/>
      <c r="N13" s="145"/>
      <c r="O13" s="0" t="str">
        <f aca="false">IF(A13="","",SUBSTITUTE(A13," ",""))</f>
        <v>직원급여</v>
      </c>
      <c r="P13" s="0" t="str">
        <f aca="false">IF(A13="","",O13&amp;"|"&amp;COUNTIF($O$2:O13,O13))</f>
        <v>직원급여|1</v>
      </c>
    </row>
    <row r="14" customFormat="false" ht="13.5" hidden="false" customHeight="true" outlineLevel="0" collapsed="false">
      <c r="A14" s="139" t="s">
        <v>149</v>
      </c>
      <c r="B14" s="144" t="n">
        <v>3419250</v>
      </c>
      <c r="C14" s="144" t="n">
        <v>0</v>
      </c>
      <c r="D14" s="144" t="n">
        <v>0</v>
      </c>
      <c r="E14" s="144" t="n">
        <v>0</v>
      </c>
      <c r="F14" s="144" t="n">
        <v>2391780</v>
      </c>
      <c r="G14" s="144" t="n">
        <v>1027470</v>
      </c>
      <c r="H14" s="144" t="n">
        <v>0</v>
      </c>
      <c r="I14" s="145"/>
      <c r="J14" s="145"/>
      <c r="K14" s="145"/>
      <c r="L14" s="145"/>
      <c r="M14" s="145"/>
      <c r="N14" s="145"/>
      <c r="O14" s="0" t="str">
        <f aca="false">IF(A14="","",SUBSTITUTE(A14," ",""))</f>
        <v>퇴직급여</v>
      </c>
      <c r="P14" s="0" t="str">
        <f aca="false">IF(A14="","",O14&amp;"|"&amp;COUNTIF($O$2:O14,O14))</f>
        <v>퇴직급여|1</v>
      </c>
    </row>
    <row r="15" customFormat="false" ht="13.5" hidden="false" customHeight="true" outlineLevel="0" collapsed="false">
      <c r="A15" s="139" t="s">
        <v>150</v>
      </c>
      <c r="B15" s="144" t="n">
        <v>84466359</v>
      </c>
      <c r="C15" s="144" t="n">
        <v>13384368</v>
      </c>
      <c r="D15" s="144" t="n">
        <v>12458555</v>
      </c>
      <c r="E15" s="144" t="n">
        <v>11081209</v>
      </c>
      <c r="F15" s="144" t="n">
        <v>14204566</v>
      </c>
      <c r="G15" s="144" t="n">
        <v>21443516</v>
      </c>
      <c r="H15" s="144" t="n">
        <v>11894145</v>
      </c>
      <c r="I15" s="145"/>
      <c r="J15" s="145"/>
      <c r="K15" s="145"/>
      <c r="L15" s="145"/>
      <c r="M15" s="145"/>
      <c r="N15" s="145"/>
      <c r="O15" s="0" t="str">
        <f aca="false">IF(A15="","",SUBSTITUTE(A15," ",""))</f>
        <v>복리후생비</v>
      </c>
      <c r="P15" s="0" t="str">
        <f aca="false">IF(A15="","",O15&amp;"|"&amp;COUNTIF($O$2:O15,O15))</f>
        <v>복리후생비|1</v>
      </c>
    </row>
    <row r="16" customFormat="false" ht="13.5" hidden="false" customHeight="true" outlineLevel="0" collapsed="false">
      <c r="A16" s="139" t="s">
        <v>151</v>
      </c>
      <c r="B16" s="144" t="n">
        <v>3249000</v>
      </c>
      <c r="C16" s="144" t="n">
        <v>370200</v>
      </c>
      <c r="D16" s="144" t="n">
        <v>788000</v>
      </c>
      <c r="E16" s="144" t="n">
        <v>539100</v>
      </c>
      <c r="F16" s="144" t="n">
        <v>506700</v>
      </c>
      <c r="G16" s="144" t="n">
        <v>827400</v>
      </c>
      <c r="H16" s="144" t="n">
        <v>217600</v>
      </c>
      <c r="I16" s="145"/>
      <c r="J16" s="145"/>
      <c r="K16" s="145"/>
      <c r="L16" s="145"/>
      <c r="M16" s="145"/>
      <c r="N16" s="145"/>
      <c r="O16" s="0" t="str">
        <f aca="false">IF(A16="","",SUBSTITUTE(A16," ",""))</f>
        <v>여비교통비</v>
      </c>
      <c r="P16" s="0" t="str">
        <f aca="false">IF(A16="","",O16&amp;"|"&amp;COUNTIF($O$2:O16,O16))</f>
        <v>여비교통비|1</v>
      </c>
    </row>
    <row r="17" customFormat="false" ht="13.5" hidden="false" customHeight="true" outlineLevel="0" collapsed="false">
      <c r="A17" s="139" t="s">
        <v>152</v>
      </c>
      <c r="B17" s="144" t="n">
        <v>34625930</v>
      </c>
      <c r="C17" s="144" t="n">
        <v>16172200</v>
      </c>
      <c r="D17" s="144" t="n">
        <v>1913680</v>
      </c>
      <c r="E17" s="144" t="n">
        <v>4930000</v>
      </c>
      <c r="F17" s="144" t="n">
        <v>3218150</v>
      </c>
      <c r="G17" s="144" t="n">
        <v>5064800</v>
      </c>
      <c r="H17" s="144" t="n">
        <v>3327100</v>
      </c>
      <c r="I17" s="145"/>
      <c r="J17" s="145"/>
      <c r="K17" s="145"/>
      <c r="L17" s="145"/>
      <c r="M17" s="145"/>
      <c r="N17" s="145"/>
      <c r="O17" s="0" t="str">
        <f aca="false">IF(A17="","",SUBSTITUTE(A17," ",""))</f>
        <v>접대비</v>
      </c>
      <c r="P17" s="0" t="str">
        <f aca="false">IF(A17="","",O17&amp;"|"&amp;COUNTIF($O$2:O17,O17))</f>
        <v>접대비|1</v>
      </c>
    </row>
    <row r="18" customFormat="false" ht="13.5" hidden="false" customHeight="true" outlineLevel="0" collapsed="false">
      <c r="A18" s="139" t="s">
        <v>153</v>
      </c>
      <c r="B18" s="144" t="n">
        <v>9388202</v>
      </c>
      <c r="C18" s="144" t="n">
        <v>1573665</v>
      </c>
      <c r="D18" s="144" t="n">
        <v>1544148</v>
      </c>
      <c r="E18" s="144" t="n">
        <v>1578167</v>
      </c>
      <c r="F18" s="144" t="n">
        <v>1579893</v>
      </c>
      <c r="G18" s="144" t="n">
        <v>1564424</v>
      </c>
      <c r="H18" s="144" t="n">
        <v>1547905</v>
      </c>
      <c r="I18" s="145"/>
      <c r="J18" s="145"/>
      <c r="K18" s="145"/>
      <c r="L18" s="145"/>
      <c r="M18" s="145"/>
      <c r="N18" s="145"/>
      <c r="O18" s="0" t="str">
        <f aca="false">IF(A18="","",SUBSTITUTE(A18," ",""))</f>
        <v>통신비</v>
      </c>
      <c r="P18" s="0" t="str">
        <f aca="false">IF(A18="","",O18&amp;"|"&amp;COUNTIF($O$2:O18,O18))</f>
        <v>통신비|1</v>
      </c>
    </row>
    <row r="19" customFormat="false" ht="13.5" hidden="false" customHeight="true" outlineLevel="0" collapsed="false">
      <c r="A19" s="139" t="s">
        <v>154</v>
      </c>
      <c r="B19" s="144" t="n">
        <v>498880</v>
      </c>
      <c r="C19" s="144" t="n">
        <v>224570</v>
      </c>
      <c r="D19" s="144" t="n">
        <v>139230</v>
      </c>
      <c r="E19" s="144" t="n">
        <v>36040</v>
      </c>
      <c r="F19" s="144" t="n">
        <v>26440</v>
      </c>
      <c r="G19" s="144" t="n">
        <v>41830</v>
      </c>
      <c r="H19" s="144" t="n">
        <v>30770</v>
      </c>
      <c r="I19" s="145"/>
      <c r="J19" s="145"/>
      <c r="K19" s="145"/>
      <c r="L19" s="145"/>
      <c r="M19" s="145"/>
      <c r="N19" s="145"/>
      <c r="O19" s="0" t="str">
        <f aca="false">IF(A19="","",SUBSTITUTE(A19," ",""))</f>
        <v>수도광열비</v>
      </c>
      <c r="P19" s="0" t="str">
        <f aca="false">IF(A19="","",O19&amp;"|"&amp;COUNTIF($O$2:O19,O19))</f>
        <v>수도광열비|1</v>
      </c>
    </row>
    <row r="20" customFormat="false" ht="13.5" hidden="false" customHeight="true" outlineLevel="0" collapsed="false">
      <c r="A20" s="139" t="s">
        <v>155</v>
      </c>
      <c r="B20" s="144" t="n">
        <v>8343428</v>
      </c>
      <c r="C20" s="144" t="n">
        <v>1655930</v>
      </c>
      <c r="D20" s="144" t="n">
        <v>1864436</v>
      </c>
      <c r="E20" s="144" t="n">
        <v>1713705</v>
      </c>
      <c r="F20" s="144" t="n">
        <v>1197096</v>
      </c>
      <c r="G20" s="144" t="n">
        <v>985023</v>
      </c>
      <c r="H20" s="144" t="n">
        <v>927238</v>
      </c>
      <c r="I20" s="145"/>
      <c r="J20" s="145"/>
      <c r="K20" s="145"/>
      <c r="L20" s="145"/>
      <c r="M20" s="145"/>
      <c r="N20" s="145"/>
      <c r="O20" s="0" t="str">
        <f aca="false">IF(A20="","",SUBSTITUTE(A20," ",""))</f>
        <v>전력비</v>
      </c>
      <c r="P20" s="0" t="str">
        <f aca="false">IF(A20="","",O20&amp;"|"&amp;COUNTIF($O$2:O20,O20))</f>
        <v>전력비|1</v>
      </c>
    </row>
    <row r="21" customFormat="false" ht="13.5" hidden="false" customHeight="true" outlineLevel="0" collapsed="false">
      <c r="A21" s="139" t="s">
        <v>156</v>
      </c>
      <c r="B21" s="144" t="n">
        <v>48976560</v>
      </c>
      <c r="C21" s="144" t="n">
        <v>7166210</v>
      </c>
      <c r="D21" s="144" t="n">
        <v>9804760</v>
      </c>
      <c r="E21" s="144" t="n">
        <v>7169550</v>
      </c>
      <c r="F21" s="144" t="n">
        <v>7177450</v>
      </c>
      <c r="G21" s="144" t="n">
        <v>7267440</v>
      </c>
      <c r="H21" s="144" t="n">
        <v>10391150</v>
      </c>
      <c r="I21" s="145"/>
      <c r="J21" s="145"/>
      <c r="K21" s="145"/>
      <c r="L21" s="145"/>
      <c r="M21" s="145"/>
      <c r="N21" s="145"/>
      <c r="O21" s="0" t="str">
        <f aca="false">IF(A21="","",SUBSTITUTE(A21," ",""))</f>
        <v>세금과공과금</v>
      </c>
      <c r="P21" s="0" t="str">
        <f aca="false">IF(A21="","",O21&amp;"|"&amp;COUNTIF($O$2:O21,O21))</f>
        <v>세금과공과금|1</v>
      </c>
    </row>
    <row r="22" customFormat="false" ht="13.5" hidden="false" customHeight="true" outlineLevel="0" collapsed="false">
      <c r="A22" s="139" t="s">
        <v>157</v>
      </c>
      <c r="B22" s="144" t="n">
        <v>74070444</v>
      </c>
      <c r="C22" s="144" t="n">
        <v>12315392</v>
      </c>
      <c r="D22" s="144" t="n">
        <v>12351012</v>
      </c>
      <c r="E22" s="144" t="n">
        <v>12351010</v>
      </c>
      <c r="F22" s="144" t="n">
        <v>12351010</v>
      </c>
      <c r="G22" s="144" t="n">
        <v>12351010</v>
      </c>
      <c r="H22" s="144" t="n">
        <v>12351010</v>
      </c>
      <c r="I22" s="145"/>
      <c r="J22" s="145"/>
      <c r="K22" s="145"/>
      <c r="L22" s="145"/>
      <c r="M22" s="145"/>
      <c r="N22" s="145"/>
      <c r="O22" s="0" t="str">
        <f aca="false">IF(A22="","",SUBSTITUTE(A22," ",""))</f>
        <v>감가상각비</v>
      </c>
      <c r="P22" s="0" t="str">
        <f aca="false">IF(A22="","",O22&amp;"|"&amp;COUNTIF($O$2:O22,O22))</f>
        <v>감가상각비|1</v>
      </c>
    </row>
    <row r="23" customFormat="false" ht="13.5" hidden="false" customHeight="true" outlineLevel="0" collapsed="false">
      <c r="A23" s="139" t="s">
        <v>158</v>
      </c>
      <c r="B23" s="144" t="n">
        <v>81000000</v>
      </c>
      <c r="C23" s="144" t="n">
        <v>13500000</v>
      </c>
      <c r="D23" s="144" t="n">
        <v>13500000</v>
      </c>
      <c r="E23" s="144" t="n">
        <v>13500000</v>
      </c>
      <c r="F23" s="144" t="n">
        <v>13500000</v>
      </c>
      <c r="G23" s="144" t="n">
        <v>13500000</v>
      </c>
      <c r="H23" s="144" t="n">
        <v>13500000</v>
      </c>
      <c r="I23" s="145"/>
      <c r="J23" s="145"/>
      <c r="K23" s="145"/>
      <c r="L23" s="145"/>
      <c r="M23" s="145"/>
      <c r="N23" s="145"/>
      <c r="O23" s="0" t="str">
        <f aca="false">IF(A23="","",SUBSTITUTE(A23," ",""))</f>
        <v>지급임차료</v>
      </c>
      <c r="P23" s="0" t="str">
        <f aca="false">IF(A23="","",O23&amp;"|"&amp;COUNTIF($O$2:O23,O23))</f>
        <v>지급임차료|1</v>
      </c>
    </row>
    <row r="24" customFormat="false" ht="13.5" hidden="false" customHeight="true" outlineLevel="0" collapsed="false">
      <c r="A24" s="139" t="s">
        <v>159</v>
      </c>
      <c r="B24" s="144" t="n">
        <v>46145145</v>
      </c>
      <c r="C24" s="144" t="n">
        <v>17822605</v>
      </c>
      <c r="D24" s="144" t="n">
        <v>5896727</v>
      </c>
      <c r="E24" s="144" t="n">
        <v>9987150</v>
      </c>
      <c r="F24" s="144" t="n">
        <v>4591574</v>
      </c>
      <c r="G24" s="144" t="n">
        <v>3955890</v>
      </c>
      <c r="H24" s="144" t="n">
        <v>3891199</v>
      </c>
      <c r="I24" s="145"/>
      <c r="J24" s="145"/>
      <c r="K24" s="145"/>
      <c r="L24" s="145"/>
      <c r="M24" s="145"/>
      <c r="N24" s="145"/>
      <c r="O24" s="0" t="str">
        <f aca="false">IF(A24="","",SUBSTITUTE(A24," ",""))</f>
        <v>보험료</v>
      </c>
      <c r="P24" s="0" t="str">
        <f aca="false">IF(A24="","",O24&amp;"|"&amp;COUNTIF($O$2:O24,O24))</f>
        <v>보험료|1</v>
      </c>
    </row>
    <row r="25" customFormat="false" ht="13.5" hidden="false" customHeight="true" outlineLevel="0" collapsed="false">
      <c r="A25" s="139" t="s">
        <v>160</v>
      </c>
      <c r="B25" s="144" t="n">
        <v>115780294</v>
      </c>
      <c r="C25" s="144" t="n">
        <v>16936992</v>
      </c>
      <c r="D25" s="144" t="n">
        <v>22883144</v>
      </c>
      <c r="E25" s="144" t="n">
        <v>18056953</v>
      </c>
      <c r="F25" s="144" t="n">
        <v>20489068</v>
      </c>
      <c r="G25" s="144" t="n">
        <v>18675432</v>
      </c>
      <c r="H25" s="144" t="n">
        <v>18738705</v>
      </c>
      <c r="I25" s="145"/>
      <c r="J25" s="145"/>
      <c r="K25" s="145"/>
      <c r="L25" s="145"/>
      <c r="M25" s="145"/>
      <c r="N25" s="145"/>
      <c r="O25" s="0" t="str">
        <f aca="false">IF(A25="","",SUBSTITUTE(A25," ",""))</f>
        <v>차량유지비</v>
      </c>
      <c r="P25" s="0" t="str">
        <f aca="false">IF(A25="","",O25&amp;"|"&amp;COUNTIF($O$2:O25,O25))</f>
        <v>차량유지비|1</v>
      </c>
    </row>
    <row r="26" customFormat="false" ht="13.5" hidden="false" customHeight="true" outlineLevel="0" collapsed="false">
      <c r="A26" s="139" t="s">
        <v>161</v>
      </c>
      <c r="B26" s="144" t="n">
        <v>14220303</v>
      </c>
      <c r="C26" s="144" t="n">
        <v>3218046</v>
      </c>
      <c r="D26" s="144" t="n">
        <v>1674100</v>
      </c>
      <c r="E26" s="144" t="n">
        <v>2256119</v>
      </c>
      <c r="F26" s="144" t="n">
        <v>1300828</v>
      </c>
      <c r="G26" s="144" t="n">
        <v>1999546</v>
      </c>
      <c r="H26" s="144" t="n">
        <v>3771664</v>
      </c>
      <c r="I26" s="145"/>
      <c r="J26" s="145"/>
      <c r="K26" s="145"/>
      <c r="L26" s="145"/>
      <c r="M26" s="145"/>
      <c r="N26" s="145"/>
      <c r="O26" s="0" t="str">
        <f aca="false">IF(A26="","",SUBSTITUTE(A26," ",""))</f>
        <v>운반비</v>
      </c>
      <c r="P26" s="0" t="str">
        <f aca="false">IF(A26="","",O26&amp;"|"&amp;COUNTIF($O$2:O26,O26))</f>
        <v>운반비|1</v>
      </c>
    </row>
    <row r="27" customFormat="false" ht="13.5" hidden="false" customHeight="true" outlineLevel="0" collapsed="false">
      <c r="A27" s="139" t="s">
        <v>163</v>
      </c>
      <c r="B27" s="144" t="n">
        <v>9730741</v>
      </c>
      <c r="C27" s="144" t="n">
        <v>1736949</v>
      </c>
      <c r="D27" s="144" t="n">
        <v>1107237</v>
      </c>
      <c r="E27" s="144" t="n">
        <v>1257367</v>
      </c>
      <c r="F27" s="144" t="n">
        <v>1552520</v>
      </c>
      <c r="G27" s="144" t="n">
        <v>3575582</v>
      </c>
      <c r="H27" s="144" t="n">
        <v>501086</v>
      </c>
      <c r="I27" s="145"/>
      <c r="J27" s="145"/>
      <c r="K27" s="145"/>
      <c r="L27" s="145"/>
      <c r="M27" s="145"/>
      <c r="N27" s="145"/>
      <c r="O27" s="0" t="str">
        <f aca="false">IF(A27="","",SUBSTITUTE(A27," ",""))</f>
        <v>소모품비</v>
      </c>
      <c r="P27" s="0" t="str">
        <f aca="false">IF(A27="","",O27&amp;"|"&amp;COUNTIF($O$2:O27,O27))</f>
        <v>소모품비|1</v>
      </c>
    </row>
    <row r="28" customFormat="false" ht="13.5" hidden="false" customHeight="true" outlineLevel="0" collapsed="false">
      <c r="A28" s="139" t="s">
        <v>164</v>
      </c>
      <c r="B28" s="144" t="n">
        <v>132687653</v>
      </c>
      <c r="C28" s="144" t="n">
        <v>20134912</v>
      </c>
      <c r="D28" s="144" t="n">
        <v>13780580</v>
      </c>
      <c r="E28" s="144" t="n">
        <v>33354398</v>
      </c>
      <c r="F28" s="144" t="n">
        <v>22212442</v>
      </c>
      <c r="G28" s="144" t="n">
        <v>19010498</v>
      </c>
      <c r="H28" s="144" t="n">
        <v>24194823</v>
      </c>
      <c r="I28" s="145"/>
      <c r="J28" s="145"/>
      <c r="K28" s="145"/>
      <c r="L28" s="145"/>
      <c r="M28" s="145"/>
      <c r="N28" s="145"/>
      <c r="O28" s="0" t="str">
        <f aca="false">IF(A28="","",SUBSTITUTE(A28," ",""))</f>
        <v>지급수수료</v>
      </c>
      <c r="P28" s="0" t="str">
        <f aca="false">IF(A28="","",O28&amp;"|"&amp;COUNTIF($O$2:O28,O28))</f>
        <v>지급수수료|1</v>
      </c>
    </row>
    <row r="29" customFormat="false" ht="13.5" hidden="false" customHeight="true" outlineLevel="0" collapsed="false">
      <c r="A29" s="139" t="s">
        <v>166</v>
      </c>
      <c r="B29" s="144" t="n">
        <v>2647122</v>
      </c>
      <c r="C29" s="144" t="n">
        <v>622432</v>
      </c>
      <c r="D29" s="144" t="n">
        <v>0</v>
      </c>
      <c r="E29" s="144" t="n">
        <v>1173227</v>
      </c>
      <c r="F29" s="144" t="n">
        <v>107803</v>
      </c>
      <c r="G29" s="144" t="n">
        <v>623505</v>
      </c>
      <c r="H29" s="144" t="n">
        <v>120155</v>
      </c>
      <c r="I29" s="145"/>
      <c r="J29" s="145"/>
      <c r="K29" s="145"/>
      <c r="L29" s="145"/>
      <c r="M29" s="145"/>
      <c r="N29" s="145"/>
      <c r="O29" s="0" t="str">
        <f aca="false">IF(A29="","",SUBSTITUTE(A29," ",""))</f>
        <v>수출제비용</v>
      </c>
      <c r="P29" s="0" t="str">
        <f aca="false">IF(A29="","",O29&amp;"|"&amp;COUNTIF($O$2:O29,O29))</f>
        <v>수출제비용|1</v>
      </c>
    </row>
    <row r="30" customFormat="false" ht="13.5" hidden="false" customHeight="true" outlineLevel="0" collapsed="false">
      <c r="A30" s="141" t="s">
        <v>349</v>
      </c>
      <c r="B30" s="144" t="n">
        <v>1107221378</v>
      </c>
      <c r="C30" s="144" t="n">
        <v>40741916</v>
      </c>
      <c r="D30" s="144" t="n">
        <v>148649732</v>
      </c>
      <c r="E30" s="144" t="n">
        <v>222735445</v>
      </c>
      <c r="F30" s="144" t="n">
        <v>265599223</v>
      </c>
      <c r="G30" s="144" t="n">
        <v>224446491</v>
      </c>
      <c r="H30" s="144" t="n">
        <v>205048571</v>
      </c>
      <c r="I30" s="145"/>
      <c r="J30" s="145"/>
      <c r="K30" s="145"/>
      <c r="L30" s="145"/>
      <c r="M30" s="145"/>
      <c r="N30" s="145"/>
      <c r="O30" s="0" t="str">
        <f aca="false">IF(A30="","",SUBSTITUTE(A30," ",""))</f>
        <v>Ⅴ.영업이익</v>
      </c>
      <c r="P30" s="0" t="str">
        <f aca="false">IF(A30="","",O30&amp;"|"&amp;COUNTIF($O$2:O30,O30))</f>
        <v>Ⅴ.영업이익|1</v>
      </c>
    </row>
    <row r="31" customFormat="false" ht="13.5" hidden="false" customHeight="true" outlineLevel="0" collapsed="false">
      <c r="A31" s="141" t="s">
        <v>337</v>
      </c>
      <c r="B31" s="144" t="n">
        <v>69774121</v>
      </c>
      <c r="C31" s="144" t="n">
        <v>183178</v>
      </c>
      <c r="D31" s="144" t="n">
        <v>4067</v>
      </c>
      <c r="E31" s="144" t="n">
        <v>7711604</v>
      </c>
      <c r="F31" s="144" t="n">
        <v>48618404</v>
      </c>
      <c r="G31" s="144" t="n">
        <v>4960592</v>
      </c>
      <c r="H31" s="144" t="n">
        <v>8296276</v>
      </c>
      <c r="I31" s="145"/>
      <c r="J31" s="145"/>
      <c r="K31" s="145"/>
      <c r="L31" s="145"/>
      <c r="M31" s="145"/>
      <c r="N31" s="145"/>
      <c r="O31" s="0" t="str">
        <f aca="false">IF(A31="","",SUBSTITUTE(A31," ",""))</f>
        <v>Ⅵ.영업외수익</v>
      </c>
      <c r="P31" s="0" t="str">
        <f aca="false">IF(A31="","",O31&amp;"|"&amp;COUNTIF($O$2:O31,O31))</f>
        <v>Ⅵ.영업외수익|1</v>
      </c>
    </row>
    <row r="32" customFormat="false" ht="13.5" hidden="false" customHeight="true" outlineLevel="0" collapsed="false">
      <c r="A32" s="139" t="s">
        <v>169</v>
      </c>
      <c r="B32" s="144" t="n">
        <v>66422365</v>
      </c>
      <c r="C32" s="144" t="n">
        <v>3390</v>
      </c>
      <c r="D32" s="144" t="n">
        <v>3275</v>
      </c>
      <c r="E32" s="144" t="n">
        <v>7172802</v>
      </c>
      <c r="F32" s="144" t="n">
        <v>47446400</v>
      </c>
      <c r="G32" s="144" t="n">
        <v>3777023</v>
      </c>
      <c r="H32" s="144" t="n">
        <v>8019475</v>
      </c>
      <c r="I32" s="145"/>
      <c r="J32" s="145"/>
      <c r="K32" s="145"/>
      <c r="L32" s="145"/>
      <c r="M32" s="145"/>
      <c r="N32" s="145"/>
      <c r="O32" s="0" t="str">
        <f aca="false">IF(A32="","",SUBSTITUTE(A32," ",""))</f>
        <v>이자수익</v>
      </c>
      <c r="P32" s="0" t="str">
        <f aca="false">IF(A32="","",O32&amp;"|"&amp;COUNTIF($O$2:O32,O32))</f>
        <v>이자수익|1</v>
      </c>
    </row>
    <row r="33" customFormat="false" ht="13.5" hidden="false" customHeight="true" outlineLevel="0" collapsed="false">
      <c r="A33" s="139" t="s">
        <v>338</v>
      </c>
      <c r="B33" s="144" t="n">
        <v>726273</v>
      </c>
      <c r="C33" s="144" t="n">
        <v>0</v>
      </c>
      <c r="D33" s="144" t="n">
        <v>0</v>
      </c>
      <c r="E33" s="144" t="n">
        <v>0</v>
      </c>
      <c r="F33" s="144" t="n">
        <v>0</v>
      </c>
      <c r="G33" s="144" t="n">
        <v>726273</v>
      </c>
      <c r="H33" s="144" t="n">
        <v>0</v>
      </c>
      <c r="I33" s="145"/>
      <c r="J33" s="145"/>
      <c r="K33" s="145"/>
      <c r="L33" s="145"/>
      <c r="M33" s="145"/>
      <c r="N33" s="145"/>
      <c r="O33" s="0" t="str">
        <f aca="false">IF(A33="","",SUBSTITUTE(A33," ",""))</f>
        <v>유형자산처분이익</v>
      </c>
      <c r="P33" s="0" t="str">
        <f aca="false">IF(A33="","",O33&amp;"|"&amp;COUNTIF($O$2:O33,O33))</f>
        <v>유형자산처분이익|1</v>
      </c>
    </row>
    <row r="34" customFormat="false" ht="13.5" hidden="false" customHeight="true" outlineLevel="0" collapsed="false">
      <c r="A34" s="139" t="s">
        <v>175</v>
      </c>
      <c r="B34" s="144" t="n">
        <v>2625483</v>
      </c>
      <c r="C34" s="144" t="n">
        <v>179788</v>
      </c>
      <c r="D34" s="144" t="n">
        <v>792</v>
      </c>
      <c r="E34" s="144" t="n">
        <v>538802</v>
      </c>
      <c r="F34" s="144" t="n">
        <v>1172004</v>
      </c>
      <c r="G34" s="144" t="n">
        <v>457296</v>
      </c>
      <c r="H34" s="144" t="n">
        <v>276801</v>
      </c>
      <c r="I34" s="145"/>
      <c r="J34" s="145"/>
      <c r="K34" s="145"/>
      <c r="L34" s="145"/>
      <c r="M34" s="145"/>
      <c r="N34" s="145"/>
      <c r="O34" s="0" t="str">
        <f aca="false">IF(A34="","",SUBSTITUTE(A34," ",""))</f>
        <v>잡이익</v>
      </c>
      <c r="P34" s="0" t="str">
        <f aca="false">IF(A34="","",O34&amp;"|"&amp;COUNTIF($O$2:O34,O34))</f>
        <v>잡이익|1</v>
      </c>
    </row>
    <row r="35" customFormat="false" ht="13.5" hidden="false" customHeight="true" outlineLevel="0" collapsed="false">
      <c r="A35" s="141" t="s">
        <v>350</v>
      </c>
      <c r="B35" s="144" t="n">
        <v>32848988</v>
      </c>
      <c r="C35" s="144" t="n">
        <v>2266</v>
      </c>
      <c r="D35" s="144" t="n">
        <v>70000</v>
      </c>
      <c r="E35" s="144" t="n">
        <v>115888</v>
      </c>
      <c r="F35" s="144" t="n">
        <v>32628834</v>
      </c>
      <c r="G35" s="144" t="n">
        <v>32000</v>
      </c>
      <c r="H35" s="144" t="n">
        <v>0</v>
      </c>
      <c r="I35" s="145"/>
      <c r="J35" s="145"/>
      <c r="K35" s="145"/>
      <c r="L35" s="145"/>
      <c r="M35" s="145"/>
      <c r="N35" s="145"/>
      <c r="O35" s="0" t="str">
        <f aca="false">IF(A35="","",SUBSTITUTE(A35," ",""))</f>
        <v>Ⅶ.영업외비용</v>
      </c>
      <c r="P35" s="0" t="str">
        <f aca="false">IF(A35="","",O35&amp;"|"&amp;COUNTIF($O$2:O35,O35))</f>
        <v>Ⅶ.영업외비용|1</v>
      </c>
    </row>
    <row r="36" customFormat="false" ht="13.5" hidden="false" customHeight="true" outlineLevel="0" collapsed="false">
      <c r="A36" s="139" t="s">
        <v>178</v>
      </c>
      <c r="B36" s="144" t="n">
        <v>1277008</v>
      </c>
      <c r="C36" s="144" t="n">
        <v>2266</v>
      </c>
      <c r="D36" s="144" t="n">
        <v>0</v>
      </c>
      <c r="E36" s="144" t="n">
        <v>3888</v>
      </c>
      <c r="F36" s="144" t="n">
        <v>1270854</v>
      </c>
      <c r="G36" s="144" t="n">
        <v>0</v>
      </c>
      <c r="H36" s="144" t="n">
        <v>0</v>
      </c>
      <c r="I36" s="145"/>
      <c r="J36" s="145"/>
      <c r="K36" s="145"/>
      <c r="L36" s="145"/>
      <c r="M36" s="145"/>
      <c r="N36" s="145"/>
      <c r="O36" s="0" t="str">
        <f aca="false">IF(A36="","",SUBSTITUTE(A36," ",""))</f>
        <v>외환차손</v>
      </c>
      <c r="P36" s="0" t="str">
        <f aca="false">IF(A36="","",O36&amp;"|"&amp;COUNTIF($O$2:O36,O36))</f>
        <v>외환차손|1</v>
      </c>
    </row>
    <row r="37" customFormat="false" ht="13.5" hidden="false" customHeight="true" outlineLevel="0" collapsed="false">
      <c r="A37" s="139" t="s">
        <v>182</v>
      </c>
      <c r="B37" s="144" t="n">
        <v>214000</v>
      </c>
      <c r="C37" s="144" t="n">
        <v>0</v>
      </c>
      <c r="D37" s="144" t="n">
        <v>70000</v>
      </c>
      <c r="E37" s="144" t="n">
        <v>112000</v>
      </c>
      <c r="F37" s="144" t="n">
        <v>0</v>
      </c>
      <c r="G37" s="144" t="n">
        <v>32000</v>
      </c>
      <c r="H37" s="144" t="n">
        <v>0</v>
      </c>
      <c r="I37" s="145"/>
      <c r="J37" s="145"/>
      <c r="K37" s="145"/>
      <c r="L37" s="145"/>
      <c r="M37" s="145"/>
      <c r="N37" s="145"/>
      <c r="O37" s="0" t="str">
        <f aca="false">IF(A37="","",SUBSTITUTE(A37," ",""))</f>
        <v>잡손실</v>
      </c>
      <c r="P37" s="0" t="str">
        <f aca="false">IF(A37="","",O37&amp;"|"&amp;COUNTIF($O$2:O37,O37))</f>
        <v>잡손실|1</v>
      </c>
    </row>
    <row r="38" customFormat="false" ht="13.5" hidden="false" customHeight="true" outlineLevel="0" collapsed="false">
      <c r="A38" s="139" t="s">
        <v>183</v>
      </c>
      <c r="B38" s="144" t="n">
        <v>31357980</v>
      </c>
      <c r="C38" s="144" t="n">
        <v>0</v>
      </c>
      <c r="D38" s="144" t="n">
        <v>0</v>
      </c>
      <c r="E38" s="144" t="n">
        <v>0</v>
      </c>
      <c r="F38" s="144" t="n">
        <v>31357980</v>
      </c>
      <c r="G38" s="144" t="n">
        <v>0</v>
      </c>
      <c r="H38" s="144" t="n">
        <v>0</v>
      </c>
      <c r="I38" s="145"/>
      <c r="J38" s="145"/>
      <c r="K38" s="145"/>
      <c r="L38" s="145"/>
      <c r="M38" s="145"/>
      <c r="N38" s="145"/>
      <c r="O38" s="0" t="str">
        <f aca="false">IF(A38="","",SUBSTITUTE(A38," ",""))</f>
        <v>법인세추납액</v>
      </c>
      <c r="P38" s="0" t="str">
        <f aca="false">IF(A38="","",O38&amp;"|"&amp;COUNTIF($O$2:O38,O38))</f>
        <v>법인세추납액|1</v>
      </c>
    </row>
    <row r="39" customFormat="false" ht="13.5" hidden="false" customHeight="true" outlineLevel="0" collapsed="false">
      <c r="A39" s="141" t="s">
        <v>351</v>
      </c>
      <c r="B39" s="144" t="n">
        <v>1144146511</v>
      </c>
      <c r="C39" s="144" t="n">
        <v>40922828</v>
      </c>
      <c r="D39" s="144" t="n">
        <v>148583799</v>
      </c>
      <c r="E39" s="144" t="n">
        <v>230331161</v>
      </c>
      <c r="F39" s="144" t="n">
        <v>281588793</v>
      </c>
      <c r="G39" s="144" t="n">
        <v>229375083</v>
      </c>
      <c r="H39" s="144" t="n">
        <v>213344847</v>
      </c>
      <c r="I39" s="145"/>
      <c r="J39" s="145"/>
      <c r="K39" s="145"/>
      <c r="L39" s="145"/>
      <c r="M39" s="145"/>
      <c r="N39" s="145"/>
      <c r="O39" s="0" t="str">
        <f aca="false">IF(A39="","",SUBSTITUTE(A39," ",""))</f>
        <v>Ⅷ.법인세비용차감전순이익</v>
      </c>
      <c r="P39" s="0" t="str">
        <f aca="false">IF(A39="","",O39&amp;"|"&amp;COUNTIF($O$2:O39,O39))</f>
        <v>Ⅷ.법인세비용차감전순이익|1</v>
      </c>
    </row>
    <row r="40" customFormat="false" ht="13.5" hidden="false" customHeight="true" outlineLevel="0" collapsed="false">
      <c r="A40" s="141" t="s">
        <v>341</v>
      </c>
      <c r="B40" s="144" t="n">
        <v>0</v>
      </c>
      <c r="C40" s="144" t="n">
        <v>0</v>
      </c>
      <c r="D40" s="144" t="n">
        <v>0</v>
      </c>
      <c r="E40" s="144" t="n">
        <v>0</v>
      </c>
      <c r="F40" s="144" t="n">
        <v>0</v>
      </c>
      <c r="G40" s="144" t="n">
        <v>0</v>
      </c>
      <c r="H40" s="144" t="n">
        <v>0</v>
      </c>
      <c r="I40" s="145"/>
      <c r="J40" s="145"/>
      <c r="K40" s="145"/>
      <c r="L40" s="145"/>
      <c r="M40" s="145"/>
      <c r="N40" s="145"/>
      <c r="O40" s="0" t="str">
        <f aca="false">IF(A40="","",SUBSTITUTE(A40," ",""))</f>
        <v>Ⅸ.법인세비용</v>
      </c>
      <c r="P40" s="0" t="str">
        <f aca="false">IF(A40="","",O40&amp;"|"&amp;COUNTIF($O$2:O40,O40))</f>
        <v>Ⅸ.법인세비용|1</v>
      </c>
    </row>
    <row r="41" customFormat="false" ht="13.5" hidden="false" customHeight="true" outlineLevel="0" collapsed="false">
      <c r="A41" s="141" t="s">
        <v>342</v>
      </c>
      <c r="B41" s="144" t="n">
        <v>1144146511</v>
      </c>
      <c r="C41" s="144" t="n">
        <v>40922828</v>
      </c>
      <c r="D41" s="144" t="n">
        <v>148583799</v>
      </c>
      <c r="E41" s="144" t="n">
        <v>230331161</v>
      </c>
      <c r="F41" s="144" t="n">
        <v>281588793</v>
      </c>
      <c r="G41" s="144" t="n">
        <v>229375083</v>
      </c>
      <c r="H41" s="144" t="n">
        <v>213344847</v>
      </c>
      <c r="I41" s="145"/>
      <c r="J41" s="145"/>
      <c r="K41" s="145"/>
      <c r="L41" s="145"/>
      <c r="M41" s="145"/>
      <c r="N41" s="145"/>
      <c r="O41" s="0" t="str">
        <f aca="false">IF(A41="","",SUBSTITUTE(A41," ",""))</f>
        <v>Ⅹ.당기순이익</v>
      </c>
      <c r="P41" s="0" t="str">
        <f aca="false">IF(A41="","",O41&amp;"|"&amp;COUNTIF($O$2:O41,O41))</f>
        <v>Ⅹ.당기순이익|1</v>
      </c>
    </row>
    <row r="42" customFormat="false" ht="11.25" hidden="false" customHeight="true" outlineLevel="0" collapsed="false"/>
    <row r="43" customFormat="false" ht="11.25" hidden="false" customHeight="true" outlineLevel="0" collapsed="false"/>
    <row r="44" customFormat="false" ht="11.25" hidden="false" customHeight="true" outlineLevel="0" collapsed="false"/>
    <row r="45" customFormat="false" ht="11.25" hidden="false" customHeight="true" outlineLevel="0" collapsed="false"/>
    <row r="46" customFormat="false" ht="11.25" hidden="false" customHeight="true" outlineLevel="0" collapsed="false"/>
    <row r="47" customFormat="false" ht="11.25" hidden="false" customHeight="true" outlineLevel="0" collapsed="false"/>
    <row r="48" customFormat="false" ht="11.25" hidden="false" customHeight="true" outlineLevel="0" collapsed="false"/>
    <row r="49" customFormat="false" ht="11.25" hidden="false" customHeight="true" outlineLevel="0" collapsed="false"/>
    <row r="50" customFormat="false" ht="11.25" hidden="false" customHeight="true" outlineLevel="0" collapsed="false"/>
    <row r="51" customFormat="false" ht="11.25" hidden="false" customHeight="true" outlineLevel="0" collapsed="false"/>
    <row r="52" customFormat="false" ht="11.25" hidden="false" customHeight="true" outlineLevel="0" collapsed="false"/>
    <row r="53" customFormat="false" ht="11.25" hidden="false" customHeight="true" outlineLevel="0" collapsed="false"/>
    <row r="54" customFormat="false" ht="11.25" hidden="false" customHeight="true" outlineLevel="0" collapsed="false"/>
    <row r="55" customFormat="false" ht="11.25" hidden="false" customHeight="true" outlineLevel="0" collapsed="false"/>
    <row r="56" customFormat="false" ht="11.25" hidden="false" customHeight="true" outlineLevel="0" collapsed="false"/>
    <row r="57" customFormat="false" ht="11.25" hidden="false" customHeight="true" outlineLevel="0" collapsed="false"/>
    <row r="58" customFormat="false" ht="11.25" hidden="false" customHeight="true" outlineLevel="0" collapsed="false"/>
    <row r="59" customFormat="false" ht="11.25" hidden="false" customHeight="true" outlineLevel="0" collapsed="false"/>
    <row r="60" customFormat="false" ht="11.25" hidden="false" customHeight="true" outlineLevel="0" collapsed="false"/>
    <row r="61" customFormat="false" ht="11.25" hidden="false" customHeight="true" outlineLevel="0" collapsed="false"/>
    <row r="62" customFormat="false" ht="11.25" hidden="false" customHeight="true" outlineLevel="0" collapsed="false"/>
    <row r="63" customFormat="false" ht="11.25" hidden="false" customHeight="true" outlineLevel="0" collapsed="false"/>
    <row r="64" customFormat="false" ht="11.25" hidden="false" customHeight="true" outlineLevel="0" collapsed="false"/>
    <row r="65" customFormat="false" ht="11.25" hidden="false" customHeight="true" outlineLevel="0" collapsed="false"/>
    <row r="66" customFormat="false" ht="11.25" hidden="false" customHeight="true" outlineLevel="0" collapsed="false"/>
    <row r="67" customFormat="false" ht="11.25" hidden="false" customHeight="true" outlineLevel="0" collapsed="false"/>
    <row r="68" customFormat="false" ht="11.25" hidden="false" customHeight="true" outlineLevel="0" collapsed="false"/>
    <row r="69" customFormat="false" ht="11.25" hidden="false" customHeight="true" outlineLevel="0" collapsed="false"/>
    <row r="70" customFormat="false" ht="11.25" hidden="false" customHeight="true" outlineLevel="0" collapsed="false"/>
    <row r="71" customFormat="false" ht="11.25" hidden="false" customHeight="true" outlineLevel="0" collapsed="false"/>
    <row r="72" customFormat="false" ht="11.25" hidden="false" customHeight="true" outlineLevel="0" collapsed="false"/>
    <row r="73" customFormat="false" ht="11.25" hidden="false" customHeight="true" outlineLevel="0" collapsed="false"/>
    <row r="74" customFormat="false" ht="11.25" hidden="false" customHeight="true" outlineLevel="0" collapsed="false"/>
    <row r="75" customFormat="false" ht="11.25" hidden="false" customHeight="true" outlineLevel="0" collapsed="false"/>
    <row r="76" customFormat="false" ht="11.25" hidden="false" customHeight="true" outlineLevel="0" collapsed="false"/>
    <row r="77" customFormat="false" ht="11.25" hidden="false" customHeight="true" outlineLevel="0" collapsed="false"/>
    <row r="78" customFormat="false" ht="11.25" hidden="false" customHeight="true" outlineLevel="0" collapsed="false"/>
    <row r="79" customFormat="false" ht="11.25" hidden="false" customHeight="true" outlineLevel="0" collapsed="false"/>
    <row r="80" customFormat="false" ht="11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5.3359375" defaultRowHeight="11.25" zeroHeight="false" outlineLevelRow="0" outlineLevelCol="0"/>
  <cols>
    <col collapsed="false" customWidth="true" hidden="false" outlineLevel="0" max="1" min="1" style="0" width="33.33"/>
    <col collapsed="false" customWidth="true" hidden="false" outlineLevel="0" max="5" min="2" style="0" width="23.33"/>
    <col collapsed="false" customWidth="true" hidden="false" outlineLevel="0" max="7" min="6" style="0" width="13"/>
    <col collapsed="false" customWidth="true" hidden="false" outlineLevel="0" max="257" min="257" style="0" width="33.33"/>
    <col collapsed="false" customWidth="true" hidden="false" outlineLevel="0" max="261" min="258" style="0" width="23.33"/>
    <col collapsed="false" customWidth="true" hidden="false" outlineLevel="0" max="513" min="513" style="0" width="33.33"/>
    <col collapsed="false" customWidth="true" hidden="false" outlineLevel="0" max="517" min="514" style="0" width="23.33"/>
    <col collapsed="false" customWidth="true" hidden="false" outlineLevel="0" max="769" min="769" style="0" width="33.33"/>
    <col collapsed="false" customWidth="true" hidden="false" outlineLevel="0" max="773" min="770" style="0" width="23.33"/>
    <col collapsed="false" customWidth="true" hidden="false" outlineLevel="0" max="1025" min="1025" style="0" width="33.33"/>
    <col collapsed="false" customWidth="true" hidden="false" outlineLevel="0" max="1029" min="1026" style="0" width="23.33"/>
    <col collapsed="false" customWidth="true" hidden="false" outlineLevel="0" max="1281" min="1281" style="0" width="33.33"/>
    <col collapsed="false" customWidth="true" hidden="false" outlineLevel="0" max="1285" min="1282" style="0" width="23.33"/>
    <col collapsed="false" customWidth="true" hidden="false" outlineLevel="0" max="1537" min="1537" style="0" width="33.33"/>
    <col collapsed="false" customWidth="true" hidden="false" outlineLevel="0" max="1541" min="1538" style="0" width="23.33"/>
    <col collapsed="false" customWidth="true" hidden="false" outlineLevel="0" max="1793" min="1793" style="0" width="33.33"/>
    <col collapsed="false" customWidth="true" hidden="false" outlineLevel="0" max="1797" min="1794" style="0" width="23.33"/>
    <col collapsed="false" customWidth="true" hidden="false" outlineLevel="0" max="2049" min="2049" style="0" width="33.33"/>
    <col collapsed="false" customWidth="true" hidden="false" outlineLevel="0" max="2053" min="2050" style="0" width="23.33"/>
    <col collapsed="false" customWidth="true" hidden="false" outlineLevel="0" max="2305" min="2305" style="0" width="33.33"/>
    <col collapsed="false" customWidth="true" hidden="false" outlineLevel="0" max="2309" min="2306" style="0" width="23.33"/>
    <col collapsed="false" customWidth="true" hidden="false" outlineLevel="0" max="2561" min="2561" style="0" width="33.33"/>
    <col collapsed="false" customWidth="true" hidden="false" outlineLevel="0" max="2565" min="2562" style="0" width="23.33"/>
    <col collapsed="false" customWidth="true" hidden="false" outlineLevel="0" max="2817" min="2817" style="0" width="33.33"/>
    <col collapsed="false" customWidth="true" hidden="false" outlineLevel="0" max="2821" min="2818" style="0" width="23.33"/>
    <col collapsed="false" customWidth="true" hidden="false" outlineLevel="0" max="3073" min="3073" style="0" width="33.33"/>
    <col collapsed="false" customWidth="true" hidden="false" outlineLevel="0" max="3077" min="3074" style="0" width="23.33"/>
    <col collapsed="false" customWidth="true" hidden="false" outlineLevel="0" max="3329" min="3329" style="0" width="33.33"/>
    <col collapsed="false" customWidth="true" hidden="false" outlineLevel="0" max="3333" min="3330" style="0" width="23.33"/>
    <col collapsed="false" customWidth="true" hidden="false" outlineLevel="0" max="3585" min="3585" style="0" width="33.33"/>
    <col collapsed="false" customWidth="true" hidden="false" outlineLevel="0" max="3589" min="3586" style="0" width="23.33"/>
    <col collapsed="false" customWidth="true" hidden="false" outlineLevel="0" max="3841" min="3841" style="0" width="33.33"/>
    <col collapsed="false" customWidth="true" hidden="false" outlineLevel="0" max="3845" min="3842" style="0" width="23.33"/>
    <col collapsed="false" customWidth="true" hidden="false" outlineLevel="0" max="4097" min="4097" style="0" width="33.33"/>
    <col collapsed="false" customWidth="true" hidden="false" outlineLevel="0" max="4101" min="4098" style="0" width="23.33"/>
    <col collapsed="false" customWidth="true" hidden="false" outlineLevel="0" max="4353" min="4353" style="0" width="33.33"/>
    <col collapsed="false" customWidth="true" hidden="false" outlineLevel="0" max="4357" min="4354" style="0" width="23.33"/>
    <col collapsed="false" customWidth="true" hidden="false" outlineLevel="0" max="4609" min="4609" style="0" width="33.33"/>
    <col collapsed="false" customWidth="true" hidden="false" outlineLevel="0" max="4613" min="4610" style="0" width="23.33"/>
    <col collapsed="false" customWidth="true" hidden="false" outlineLevel="0" max="4865" min="4865" style="0" width="33.33"/>
    <col collapsed="false" customWidth="true" hidden="false" outlineLevel="0" max="4869" min="4866" style="0" width="23.33"/>
    <col collapsed="false" customWidth="true" hidden="false" outlineLevel="0" max="5121" min="5121" style="0" width="33.33"/>
    <col collapsed="false" customWidth="true" hidden="false" outlineLevel="0" max="5125" min="5122" style="0" width="23.33"/>
    <col collapsed="false" customWidth="true" hidden="false" outlineLevel="0" max="5377" min="5377" style="0" width="33.33"/>
    <col collapsed="false" customWidth="true" hidden="false" outlineLevel="0" max="5381" min="5378" style="0" width="23.33"/>
    <col collapsed="false" customWidth="true" hidden="false" outlineLevel="0" max="5633" min="5633" style="0" width="33.33"/>
    <col collapsed="false" customWidth="true" hidden="false" outlineLevel="0" max="5637" min="5634" style="0" width="23.33"/>
    <col collapsed="false" customWidth="true" hidden="false" outlineLevel="0" max="5889" min="5889" style="0" width="33.33"/>
    <col collapsed="false" customWidth="true" hidden="false" outlineLevel="0" max="5893" min="5890" style="0" width="23.33"/>
    <col collapsed="false" customWidth="true" hidden="false" outlineLevel="0" max="6145" min="6145" style="0" width="33.33"/>
    <col collapsed="false" customWidth="true" hidden="false" outlineLevel="0" max="6149" min="6146" style="0" width="23.33"/>
    <col collapsed="false" customWidth="true" hidden="false" outlineLevel="0" max="6401" min="6401" style="0" width="33.33"/>
    <col collapsed="false" customWidth="true" hidden="false" outlineLevel="0" max="6405" min="6402" style="0" width="23.33"/>
    <col collapsed="false" customWidth="true" hidden="false" outlineLevel="0" max="6657" min="6657" style="0" width="33.33"/>
    <col collapsed="false" customWidth="true" hidden="false" outlineLevel="0" max="6661" min="6658" style="0" width="23.33"/>
    <col collapsed="false" customWidth="true" hidden="false" outlineLevel="0" max="6913" min="6913" style="0" width="33.33"/>
    <col collapsed="false" customWidth="true" hidden="false" outlineLevel="0" max="6917" min="6914" style="0" width="23.33"/>
    <col collapsed="false" customWidth="true" hidden="false" outlineLevel="0" max="7169" min="7169" style="0" width="33.33"/>
    <col collapsed="false" customWidth="true" hidden="false" outlineLevel="0" max="7173" min="7170" style="0" width="23.33"/>
    <col collapsed="false" customWidth="true" hidden="false" outlineLevel="0" max="7425" min="7425" style="0" width="33.33"/>
    <col collapsed="false" customWidth="true" hidden="false" outlineLevel="0" max="7429" min="7426" style="0" width="23.33"/>
    <col collapsed="false" customWidth="true" hidden="false" outlineLevel="0" max="7681" min="7681" style="0" width="33.33"/>
    <col collapsed="false" customWidth="true" hidden="false" outlineLevel="0" max="7685" min="7682" style="0" width="23.33"/>
    <col collapsed="false" customWidth="true" hidden="false" outlineLevel="0" max="7937" min="7937" style="0" width="33.33"/>
    <col collapsed="false" customWidth="true" hidden="false" outlineLevel="0" max="7941" min="7938" style="0" width="23.33"/>
    <col collapsed="false" customWidth="true" hidden="false" outlineLevel="0" max="8193" min="8193" style="0" width="33.33"/>
    <col collapsed="false" customWidth="true" hidden="false" outlineLevel="0" max="8197" min="8194" style="0" width="23.33"/>
    <col collapsed="false" customWidth="true" hidden="false" outlineLevel="0" max="8449" min="8449" style="0" width="33.33"/>
    <col collapsed="false" customWidth="true" hidden="false" outlineLevel="0" max="8453" min="8450" style="0" width="23.33"/>
    <col collapsed="false" customWidth="true" hidden="false" outlineLevel="0" max="8705" min="8705" style="0" width="33.33"/>
    <col collapsed="false" customWidth="true" hidden="false" outlineLevel="0" max="8709" min="8706" style="0" width="23.33"/>
    <col collapsed="false" customWidth="true" hidden="false" outlineLevel="0" max="8961" min="8961" style="0" width="33.33"/>
    <col collapsed="false" customWidth="true" hidden="false" outlineLevel="0" max="8965" min="8962" style="0" width="23.33"/>
    <col collapsed="false" customWidth="true" hidden="false" outlineLevel="0" max="9217" min="9217" style="0" width="33.33"/>
    <col collapsed="false" customWidth="true" hidden="false" outlineLevel="0" max="9221" min="9218" style="0" width="23.33"/>
    <col collapsed="false" customWidth="true" hidden="false" outlineLevel="0" max="9473" min="9473" style="0" width="33.33"/>
    <col collapsed="false" customWidth="true" hidden="false" outlineLevel="0" max="9477" min="9474" style="0" width="23.33"/>
    <col collapsed="false" customWidth="true" hidden="false" outlineLevel="0" max="9729" min="9729" style="0" width="33.33"/>
    <col collapsed="false" customWidth="true" hidden="false" outlineLevel="0" max="9733" min="9730" style="0" width="23.33"/>
    <col collapsed="false" customWidth="true" hidden="false" outlineLevel="0" max="9985" min="9985" style="0" width="33.33"/>
    <col collapsed="false" customWidth="true" hidden="false" outlineLevel="0" max="9989" min="9986" style="0" width="23.33"/>
    <col collapsed="false" customWidth="true" hidden="false" outlineLevel="0" max="10241" min="10241" style="0" width="33.33"/>
    <col collapsed="false" customWidth="true" hidden="false" outlineLevel="0" max="10245" min="10242" style="0" width="23.33"/>
    <col collapsed="false" customWidth="true" hidden="false" outlineLevel="0" max="10497" min="10497" style="0" width="33.33"/>
    <col collapsed="false" customWidth="true" hidden="false" outlineLevel="0" max="10501" min="10498" style="0" width="23.33"/>
    <col collapsed="false" customWidth="true" hidden="false" outlineLevel="0" max="10753" min="10753" style="0" width="33.33"/>
    <col collapsed="false" customWidth="true" hidden="false" outlineLevel="0" max="10757" min="10754" style="0" width="23.33"/>
    <col collapsed="false" customWidth="true" hidden="false" outlineLevel="0" max="11009" min="11009" style="0" width="33.33"/>
    <col collapsed="false" customWidth="true" hidden="false" outlineLevel="0" max="11013" min="11010" style="0" width="23.33"/>
    <col collapsed="false" customWidth="true" hidden="false" outlineLevel="0" max="11265" min="11265" style="0" width="33.33"/>
    <col collapsed="false" customWidth="true" hidden="false" outlineLevel="0" max="11269" min="11266" style="0" width="23.33"/>
    <col collapsed="false" customWidth="true" hidden="false" outlineLevel="0" max="11521" min="11521" style="0" width="33.33"/>
    <col collapsed="false" customWidth="true" hidden="false" outlineLevel="0" max="11525" min="11522" style="0" width="23.33"/>
    <col collapsed="false" customWidth="true" hidden="false" outlineLevel="0" max="11777" min="11777" style="0" width="33.33"/>
    <col collapsed="false" customWidth="true" hidden="false" outlineLevel="0" max="11781" min="11778" style="0" width="23.33"/>
    <col collapsed="false" customWidth="true" hidden="false" outlineLevel="0" max="12033" min="12033" style="0" width="33.33"/>
    <col collapsed="false" customWidth="true" hidden="false" outlineLevel="0" max="12037" min="12034" style="0" width="23.33"/>
    <col collapsed="false" customWidth="true" hidden="false" outlineLevel="0" max="12289" min="12289" style="0" width="33.33"/>
    <col collapsed="false" customWidth="true" hidden="false" outlineLevel="0" max="12293" min="12290" style="0" width="23.33"/>
    <col collapsed="false" customWidth="true" hidden="false" outlineLevel="0" max="12545" min="12545" style="0" width="33.33"/>
    <col collapsed="false" customWidth="true" hidden="false" outlineLevel="0" max="12549" min="12546" style="0" width="23.33"/>
    <col collapsed="false" customWidth="true" hidden="false" outlineLevel="0" max="12801" min="12801" style="0" width="33.33"/>
    <col collapsed="false" customWidth="true" hidden="false" outlineLevel="0" max="12805" min="12802" style="0" width="23.33"/>
    <col collapsed="false" customWidth="true" hidden="false" outlineLevel="0" max="13057" min="13057" style="0" width="33.33"/>
    <col collapsed="false" customWidth="true" hidden="false" outlineLevel="0" max="13061" min="13058" style="0" width="23.33"/>
    <col collapsed="false" customWidth="true" hidden="false" outlineLevel="0" max="13313" min="13313" style="0" width="33.33"/>
    <col collapsed="false" customWidth="true" hidden="false" outlineLevel="0" max="13317" min="13314" style="0" width="23.33"/>
    <col collapsed="false" customWidth="true" hidden="false" outlineLevel="0" max="13569" min="13569" style="0" width="33.33"/>
    <col collapsed="false" customWidth="true" hidden="false" outlineLevel="0" max="13573" min="13570" style="0" width="23.33"/>
    <col collapsed="false" customWidth="true" hidden="false" outlineLevel="0" max="13825" min="13825" style="0" width="33.33"/>
    <col collapsed="false" customWidth="true" hidden="false" outlineLevel="0" max="13829" min="13826" style="0" width="23.33"/>
    <col collapsed="false" customWidth="true" hidden="false" outlineLevel="0" max="14081" min="14081" style="0" width="33.33"/>
    <col collapsed="false" customWidth="true" hidden="false" outlineLevel="0" max="14085" min="14082" style="0" width="23.33"/>
    <col collapsed="false" customWidth="true" hidden="false" outlineLevel="0" max="14337" min="14337" style="0" width="33.33"/>
    <col collapsed="false" customWidth="true" hidden="false" outlineLevel="0" max="14341" min="14338" style="0" width="23.33"/>
    <col collapsed="false" customWidth="true" hidden="false" outlineLevel="0" max="14593" min="14593" style="0" width="33.33"/>
    <col collapsed="false" customWidth="true" hidden="false" outlineLevel="0" max="14597" min="14594" style="0" width="23.33"/>
    <col collapsed="false" customWidth="true" hidden="false" outlineLevel="0" max="14849" min="14849" style="0" width="33.33"/>
    <col collapsed="false" customWidth="true" hidden="false" outlineLevel="0" max="14853" min="14850" style="0" width="23.33"/>
    <col collapsed="false" customWidth="true" hidden="false" outlineLevel="0" max="15105" min="15105" style="0" width="33.33"/>
    <col collapsed="false" customWidth="true" hidden="false" outlineLevel="0" max="15109" min="15106" style="0" width="23.33"/>
    <col collapsed="false" customWidth="true" hidden="false" outlineLevel="0" max="15361" min="15361" style="0" width="33.33"/>
    <col collapsed="false" customWidth="true" hidden="false" outlineLevel="0" max="15365" min="15362" style="0" width="23.33"/>
    <col collapsed="false" customWidth="true" hidden="false" outlineLevel="0" max="15617" min="15617" style="0" width="33.33"/>
    <col collapsed="false" customWidth="true" hidden="false" outlineLevel="0" max="15621" min="15618" style="0" width="23.33"/>
    <col collapsed="false" customWidth="true" hidden="false" outlineLevel="0" max="15873" min="15873" style="0" width="33.33"/>
    <col collapsed="false" customWidth="true" hidden="false" outlineLevel="0" max="15877" min="15874" style="0" width="23.33"/>
    <col collapsed="false" customWidth="true" hidden="false" outlineLevel="0" max="16129" min="16129" style="0" width="33.33"/>
    <col collapsed="false" customWidth="true" hidden="false" outlineLevel="0" max="16133" min="16130" style="0" width="23.33"/>
  </cols>
  <sheetData>
    <row r="1" customFormat="false" ht="18.75" hidden="false" customHeight="true" outlineLevel="0" collapsed="false">
      <c r="A1" s="138" t="s">
        <v>47</v>
      </c>
      <c r="B1" s="138" t="s">
        <v>48</v>
      </c>
      <c r="C1" s="138"/>
      <c r="D1" s="138" t="s">
        <v>50</v>
      </c>
      <c r="E1" s="138"/>
    </row>
    <row r="2" customFormat="false" ht="18.75" hidden="false" customHeight="true" outlineLevel="0" collapsed="false">
      <c r="A2" s="138"/>
      <c r="B2" s="138" t="s">
        <v>53</v>
      </c>
      <c r="C2" s="138"/>
      <c r="D2" s="138" t="s">
        <v>54</v>
      </c>
      <c r="E2" s="138"/>
    </row>
    <row r="3" customFormat="false" ht="13.5" hidden="false" customHeight="true" outlineLevel="0" collapsed="false">
      <c r="A3" s="141" t="s">
        <v>332</v>
      </c>
      <c r="B3" s="144" t="n">
        <v>0</v>
      </c>
      <c r="C3" s="144" t="n">
        <v>19213322580</v>
      </c>
      <c r="D3" s="144" t="n">
        <v>0</v>
      </c>
      <c r="E3" s="144" t="n">
        <v>35759715334</v>
      </c>
      <c r="F3" s="0" t="str">
        <f aca="false">IF(A3="","",SUBSTITUTE(A3," ",""))</f>
        <v>Ⅰ.매출액</v>
      </c>
      <c r="G3" s="0" t="str">
        <f aca="false">IF(A3="","",F3&amp;"|"&amp;COUNTIF($F$3:F3,F3))</f>
        <v>Ⅰ.매출액|1</v>
      </c>
    </row>
    <row r="4" customFormat="false" ht="13.5" hidden="false" customHeight="true" outlineLevel="0" collapsed="false">
      <c r="A4" s="139" t="s">
        <v>135</v>
      </c>
      <c r="B4" s="144" t="n">
        <v>19159719722</v>
      </c>
      <c r="C4" s="144" t="n">
        <v>0</v>
      </c>
      <c r="D4" s="144" t="n">
        <v>35616332337</v>
      </c>
      <c r="E4" s="144" t="n">
        <v>0</v>
      </c>
      <c r="F4" s="0" t="str">
        <f aca="false">IF(A4="","",SUBSTITUTE(A4," ",""))</f>
        <v>상품매출</v>
      </c>
      <c r="G4" s="0" t="str">
        <f aca="false">IF(A4="","",F4&amp;"|"&amp;COUNTIF($F$3:F4,F4))</f>
        <v>상품매출|1</v>
      </c>
    </row>
    <row r="5" customFormat="false" ht="13.5" hidden="false" customHeight="true" outlineLevel="0" collapsed="false">
      <c r="A5" s="139" t="s">
        <v>136</v>
      </c>
      <c r="B5" s="144" t="n">
        <v>53602858</v>
      </c>
      <c r="C5" s="144" t="n">
        <v>0</v>
      </c>
      <c r="D5" s="144" t="n">
        <v>143382997</v>
      </c>
      <c r="E5" s="144" t="n">
        <v>0</v>
      </c>
      <c r="F5" s="0" t="str">
        <f aca="false">IF(A5="","",SUBSTITUTE(A5," ",""))</f>
        <v>상품수출매출</v>
      </c>
      <c r="G5" s="0" t="str">
        <f aca="false">IF(A5="","",F5&amp;"|"&amp;COUNTIF($F$3:F5,F5))</f>
        <v>상품수출매출|1</v>
      </c>
    </row>
    <row r="6" customFormat="false" ht="13.5" hidden="false" customHeight="true" outlineLevel="0" collapsed="false">
      <c r="A6" s="141" t="s">
        <v>333</v>
      </c>
      <c r="B6" s="144" t="n">
        <v>0</v>
      </c>
      <c r="C6" s="144" t="n">
        <v>15801558966</v>
      </c>
      <c r="D6" s="144" t="n">
        <v>0</v>
      </c>
      <c r="E6" s="144" t="n">
        <v>29846027632</v>
      </c>
      <c r="F6" s="0" t="str">
        <f aca="false">IF(A6="","",SUBSTITUTE(A6," ",""))</f>
        <v>Ⅱ.매출원가</v>
      </c>
      <c r="G6" s="0" t="str">
        <f aca="false">IF(A6="","",F6&amp;"|"&amp;COUNTIF($F$3:F6,F6))</f>
        <v>Ⅱ.매출원가|1</v>
      </c>
    </row>
    <row r="7" customFormat="false" ht="13.5" hidden="false" customHeight="true" outlineLevel="0" collapsed="false">
      <c r="A7" s="139" t="s">
        <v>138</v>
      </c>
      <c r="B7" s="144" t="n">
        <v>0</v>
      </c>
      <c r="C7" s="144" t="n">
        <v>15801558966</v>
      </c>
      <c r="D7" s="144" t="n">
        <v>0</v>
      </c>
      <c r="E7" s="144" t="n">
        <v>29846027632</v>
      </c>
      <c r="F7" s="0" t="str">
        <f aca="false">IF(A7="","",SUBSTITUTE(A7," ",""))</f>
        <v>상품매출원가</v>
      </c>
      <c r="G7" s="0" t="str">
        <f aca="false">IF(A7="","",F7&amp;"|"&amp;COUNTIF($F$3:F7,F7))</f>
        <v>상품매출원가|1</v>
      </c>
    </row>
    <row r="8" customFormat="false" ht="13.5" hidden="false" customHeight="true" outlineLevel="0" collapsed="false">
      <c r="A8" s="139" t="s">
        <v>139</v>
      </c>
      <c r="B8" s="144" t="n">
        <v>2126111102</v>
      </c>
      <c r="C8" s="144" t="n">
        <v>0</v>
      </c>
      <c r="D8" s="144" t="n">
        <v>2098835763</v>
      </c>
      <c r="E8" s="144" t="n">
        <v>0</v>
      </c>
      <c r="F8" s="0" t="str">
        <f aca="false">IF(A8="","",SUBSTITUTE(A8," ",""))</f>
        <v>기초상품재고액</v>
      </c>
      <c r="G8" s="0" t="str">
        <f aca="false">IF(A8="","",F8&amp;"|"&amp;COUNTIF($F$3:F8,F8))</f>
        <v>기초상품재고액|1</v>
      </c>
    </row>
    <row r="9" customFormat="false" ht="13.5" hidden="false" customHeight="true" outlineLevel="0" collapsed="false">
      <c r="A9" s="139" t="s">
        <v>140</v>
      </c>
      <c r="B9" s="144" t="n">
        <v>16748178215</v>
      </c>
      <c r="C9" s="144" t="n">
        <v>0</v>
      </c>
      <c r="D9" s="144" t="n">
        <v>30036303143</v>
      </c>
      <c r="E9" s="144" t="n">
        <v>0</v>
      </c>
      <c r="F9" s="0" t="str">
        <f aca="false">IF(A9="","",SUBSTITUTE(A9," ",""))</f>
        <v>당기상품매입액</v>
      </c>
      <c r="G9" s="0" t="str">
        <f aca="false">IF(A9="","",F9&amp;"|"&amp;COUNTIF($F$3:F9,F9))</f>
        <v>당기상품매입액|1</v>
      </c>
    </row>
    <row r="10" customFormat="false" ht="13.5" hidden="false" customHeight="true" outlineLevel="0" collapsed="false">
      <c r="A10" s="139" t="s">
        <v>141</v>
      </c>
      <c r="B10" s="144" t="n">
        <v>73405868</v>
      </c>
      <c r="C10" s="144" t="n">
        <v>0</v>
      </c>
      <c r="D10" s="144" t="n">
        <v>163000172</v>
      </c>
      <c r="E10" s="144" t="n">
        <v>0</v>
      </c>
      <c r="F10" s="0" t="str">
        <f aca="false">IF(A10="","",SUBSTITUTE(A10," ",""))</f>
        <v>매입할인</v>
      </c>
      <c r="G10" s="0" t="str">
        <f aca="false">IF(A10="","",F10&amp;"|"&amp;COUNTIF($F$3:F10,F10))</f>
        <v>매입할인|1</v>
      </c>
    </row>
    <row r="11" customFormat="false" ht="13.5" hidden="false" customHeight="true" outlineLevel="0" collapsed="false">
      <c r="A11" s="139" t="s">
        <v>142</v>
      </c>
      <c r="B11" s="144" t="n">
        <v>2999324483</v>
      </c>
      <c r="C11" s="144" t="n">
        <v>0</v>
      </c>
      <c r="D11" s="144" t="n">
        <v>2126111102</v>
      </c>
      <c r="E11" s="144" t="n">
        <v>0</v>
      </c>
      <c r="F11" s="0" t="str">
        <f aca="false">IF(A11="","",SUBSTITUTE(A11," ",""))</f>
        <v>기말상품재고액</v>
      </c>
      <c r="G11" s="0" t="str">
        <f aca="false">IF(A11="","",F11&amp;"|"&amp;COUNTIF($F$3:F11,F11))</f>
        <v>기말상품재고액|1</v>
      </c>
    </row>
    <row r="12" customFormat="false" ht="13.5" hidden="false" customHeight="true" outlineLevel="0" collapsed="false">
      <c r="A12" s="141" t="s">
        <v>334</v>
      </c>
      <c r="B12" s="144" t="n">
        <v>0</v>
      </c>
      <c r="C12" s="144" t="n">
        <v>3411763614</v>
      </c>
      <c r="D12" s="144" t="n">
        <v>0</v>
      </c>
      <c r="E12" s="144" t="n">
        <v>5913687702</v>
      </c>
      <c r="F12" s="0" t="str">
        <f aca="false">IF(A12="","",SUBSTITUTE(A12," ",""))</f>
        <v>Ⅲ.매출총이익</v>
      </c>
      <c r="G12" s="0" t="str">
        <f aca="false">IF(A12="","",F12&amp;"|"&amp;COUNTIF($F$3:F12,F12))</f>
        <v>Ⅲ.매출총이익|1</v>
      </c>
    </row>
    <row r="13" customFormat="false" ht="13.5" hidden="false" customHeight="true" outlineLevel="0" collapsed="false">
      <c r="A13" s="141" t="s">
        <v>335</v>
      </c>
      <c r="B13" s="144" t="n">
        <v>0</v>
      </c>
      <c r="C13" s="144" t="n">
        <v>1870617248</v>
      </c>
      <c r="D13" s="144" t="n">
        <v>0</v>
      </c>
      <c r="E13" s="144" t="n">
        <v>4291191892</v>
      </c>
      <c r="F13" s="0" t="str">
        <f aca="false">IF(A13="","",SUBSTITUTE(A13," ",""))</f>
        <v>Ⅳ.판매관리비</v>
      </c>
      <c r="G13" s="0" t="str">
        <f aca="false">IF(A13="","",F13&amp;"|"&amp;COUNTIF($F$3:F13,F13))</f>
        <v>Ⅳ.판매관리비|1</v>
      </c>
    </row>
    <row r="14" customFormat="false" ht="13.5" hidden="false" customHeight="true" outlineLevel="0" collapsed="false">
      <c r="A14" s="139" t="s">
        <v>146</v>
      </c>
      <c r="B14" s="144" t="n">
        <v>1061222039</v>
      </c>
      <c r="C14" s="144" t="n">
        <v>0</v>
      </c>
      <c r="D14" s="144" t="n">
        <v>2060318569</v>
      </c>
      <c r="E14" s="144" t="n">
        <v>0</v>
      </c>
      <c r="F14" s="0" t="str">
        <f aca="false">IF(A14="","",SUBSTITUTE(A14," ",""))</f>
        <v>직원급여</v>
      </c>
      <c r="G14" s="0" t="str">
        <f aca="false">IF(A14="","",F14&amp;"|"&amp;COUNTIF($F$3:F14,F14))</f>
        <v>직원급여|1</v>
      </c>
    </row>
    <row r="15" customFormat="false" ht="13.5" hidden="false" customHeight="true" outlineLevel="0" collapsed="false">
      <c r="A15" s="139" t="s">
        <v>147</v>
      </c>
      <c r="B15" s="144" t="n">
        <v>0</v>
      </c>
      <c r="C15" s="144" t="n">
        <v>0</v>
      </c>
      <c r="D15" s="144" t="n">
        <v>551800000</v>
      </c>
      <c r="E15" s="144" t="n">
        <v>0</v>
      </c>
      <c r="F15" s="0" t="str">
        <f aca="false">IF(A15="","",SUBSTITUTE(A15," ",""))</f>
        <v>상여금</v>
      </c>
      <c r="G15" s="0" t="str">
        <f aca="false">IF(A15="","",F15&amp;"|"&amp;COUNTIF($F$3:F15,F15))</f>
        <v>상여금|1</v>
      </c>
    </row>
    <row r="16" customFormat="false" ht="13.5" hidden="false" customHeight="true" outlineLevel="0" collapsed="false">
      <c r="A16" s="139" t="s">
        <v>148</v>
      </c>
      <c r="B16" s="144" t="n">
        <v>0</v>
      </c>
      <c r="C16" s="144" t="n">
        <v>0</v>
      </c>
      <c r="D16" s="144" t="n">
        <v>12096500</v>
      </c>
      <c r="E16" s="144" t="n">
        <v>0</v>
      </c>
      <c r="F16" s="0" t="str">
        <f aca="false">IF(A16="","",SUBSTITUTE(A16," ",""))</f>
        <v>연차수당</v>
      </c>
      <c r="G16" s="0" t="str">
        <f aca="false">IF(A16="","",F16&amp;"|"&amp;COUNTIF($F$3:F16,F16))</f>
        <v>연차수당|1</v>
      </c>
    </row>
    <row r="17" customFormat="false" ht="13.5" hidden="false" customHeight="true" outlineLevel="0" collapsed="false">
      <c r="A17" s="139" t="s">
        <v>149</v>
      </c>
      <c r="B17" s="144" t="n">
        <v>88091340</v>
      </c>
      <c r="C17" s="144" t="n">
        <v>0</v>
      </c>
      <c r="D17" s="144" t="n">
        <v>305951630</v>
      </c>
      <c r="E17" s="144" t="n">
        <v>0</v>
      </c>
      <c r="F17" s="0" t="str">
        <f aca="false">IF(A17="","",SUBSTITUTE(A17," ",""))</f>
        <v>퇴직급여</v>
      </c>
      <c r="G17" s="0" t="str">
        <f aca="false">IF(A17="","",F17&amp;"|"&amp;COUNTIF($F$3:F17,F17))</f>
        <v>퇴직급여|1</v>
      </c>
    </row>
    <row r="18" customFormat="false" ht="13.5" hidden="false" customHeight="true" outlineLevel="0" collapsed="false">
      <c r="A18" s="139" t="s">
        <v>150</v>
      </c>
      <c r="B18" s="144" t="n">
        <v>92419321</v>
      </c>
      <c r="C18" s="144" t="n">
        <v>0</v>
      </c>
      <c r="D18" s="144" t="n">
        <v>173366229</v>
      </c>
      <c r="E18" s="144" t="n">
        <v>0</v>
      </c>
      <c r="F18" s="0" t="str">
        <f aca="false">IF(A18="","",SUBSTITUTE(A18," ",""))</f>
        <v>복리후생비</v>
      </c>
      <c r="G18" s="0" t="str">
        <f aca="false">IF(A18="","",F18&amp;"|"&amp;COUNTIF($F$3:F18,F18))</f>
        <v>복리후생비|1</v>
      </c>
    </row>
    <row r="19" customFormat="false" ht="13.5" hidden="false" customHeight="true" outlineLevel="0" collapsed="false">
      <c r="A19" s="139" t="s">
        <v>151</v>
      </c>
      <c r="B19" s="144" t="n">
        <v>7223588</v>
      </c>
      <c r="C19" s="144" t="n">
        <v>0</v>
      </c>
      <c r="D19" s="144" t="n">
        <v>8300248</v>
      </c>
      <c r="E19" s="144" t="n">
        <v>0</v>
      </c>
      <c r="F19" s="0" t="str">
        <f aca="false">IF(A19="","",SUBSTITUTE(A19," ",""))</f>
        <v>여비교통비</v>
      </c>
      <c r="G19" s="0" t="str">
        <f aca="false">IF(A19="","",F19&amp;"|"&amp;COUNTIF($F$3:F19,F19))</f>
        <v>여비교통비|1</v>
      </c>
    </row>
    <row r="20" customFormat="false" ht="13.5" hidden="false" customHeight="true" outlineLevel="0" collapsed="false">
      <c r="A20" s="139" t="s">
        <v>152</v>
      </c>
      <c r="B20" s="144" t="n">
        <v>38130927</v>
      </c>
      <c r="C20" s="144" t="n">
        <v>0</v>
      </c>
      <c r="D20" s="144" t="n">
        <v>74924080</v>
      </c>
      <c r="E20" s="144" t="n">
        <v>0</v>
      </c>
      <c r="F20" s="0" t="str">
        <f aca="false">IF(A20="","",SUBSTITUTE(A20," ",""))</f>
        <v>접대비</v>
      </c>
      <c r="G20" s="0" t="str">
        <f aca="false">IF(A20="","",F20&amp;"|"&amp;COUNTIF($F$3:F20,F20))</f>
        <v>접대비|1</v>
      </c>
    </row>
    <row r="21" customFormat="false" ht="13.5" hidden="false" customHeight="true" outlineLevel="0" collapsed="false">
      <c r="A21" s="139" t="s">
        <v>153</v>
      </c>
      <c r="B21" s="144" t="n">
        <v>9374397</v>
      </c>
      <c r="C21" s="144" t="n">
        <v>0</v>
      </c>
      <c r="D21" s="144" t="n">
        <v>18692616</v>
      </c>
      <c r="E21" s="144" t="n">
        <v>0</v>
      </c>
      <c r="F21" s="0" t="str">
        <f aca="false">IF(A21="","",SUBSTITUTE(A21," ",""))</f>
        <v>통신비</v>
      </c>
      <c r="G21" s="0" t="str">
        <f aca="false">IF(A21="","",F21&amp;"|"&amp;COUNTIF($F$3:F21,F21))</f>
        <v>통신비|1</v>
      </c>
    </row>
    <row r="22" customFormat="false" ht="13.5" hidden="false" customHeight="true" outlineLevel="0" collapsed="false">
      <c r="A22" s="139" t="s">
        <v>154</v>
      </c>
      <c r="B22" s="144" t="n">
        <v>612260</v>
      </c>
      <c r="C22" s="144" t="n">
        <v>0</v>
      </c>
      <c r="D22" s="144" t="n">
        <v>1127751</v>
      </c>
      <c r="E22" s="144" t="n">
        <v>0</v>
      </c>
      <c r="F22" s="0" t="str">
        <f aca="false">IF(A22="","",SUBSTITUTE(A22," ",""))</f>
        <v>수도광열비</v>
      </c>
      <c r="G22" s="0" t="str">
        <f aca="false">IF(A22="","",F22&amp;"|"&amp;COUNTIF($F$3:F22,F22))</f>
        <v>수도광열비|1</v>
      </c>
    </row>
    <row r="23" customFormat="false" ht="13.5" hidden="false" customHeight="true" outlineLevel="0" collapsed="false">
      <c r="A23" s="139" t="s">
        <v>155</v>
      </c>
      <c r="B23" s="144" t="n">
        <v>8685767</v>
      </c>
      <c r="C23" s="144" t="n">
        <v>0</v>
      </c>
      <c r="D23" s="144" t="n">
        <v>15489170</v>
      </c>
      <c r="E23" s="144" t="n">
        <v>0</v>
      </c>
      <c r="F23" s="0" t="str">
        <f aca="false">IF(A23="","",SUBSTITUTE(A23," ",""))</f>
        <v>전력비</v>
      </c>
      <c r="G23" s="0" t="str">
        <f aca="false">IF(A23="","",F23&amp;"|"&amp;COUNTIF($F$3:F23,F23))</f>
        <v>전력비|1</v>
      </c>
    </row>
    <row r="24" customFormat="false" ht="13.5" hidden="false" customHeight="true" outlineLevel="0" collapsed="false">
      <c r="A24" s="139" t="s">
        <v>156</v>
      </c>
      <c r="B24" s="144" t="n">
        <v>52313460</v>
      </c>
      <c r="C24" s="144" t="n">
        <v>0</v>
      </c>
      <c r="D24" s="144" t="n">
        <v>41002240</v>
      </c>
      <c r="E24" s="144" t="n">
        <v>0</v>
      </c>
      <c r="F24" s="0" t="str">
        <f aca="false">IF(A24="","",SUBSTITUTE(A24," ",""))</f>
        <v>세금과공과금</v>
      </c>
      <c r="G24" s="0" t="str">
        <f aca="false">IF(A24="","",F24&amp;"|"&amp;COUNTIF($F$3:F24,F24))</f>
        <v>세금과공과금|1</v>
      </c>
    </row>
    <row r="25" customFormat="false" ht="13.5" hidden="false" customHeight="true" outlineLevel="0" collapsed="false">
      <c r="A25" s="139" t="s">
        <v>157</v>
      </c>
      <c r="B25" s="144" t="n">
        <v>59963158</v>
      </c>
      <c r="C25" s="144" t="n">
        <v>0</v>
      </c>
      <c r="D25" s="144" t="n">
        <v>151430376</v>
      </c>
      <c r="E25" s="144" t="n">
        <v>0</v>
      </c>
      <c r="F25" s="0" t="str">
        <f aca="false">IF(A25="","",SUBSTITUTE(A25," ",""))</f>
        <v>감가상각비</v>
      </c>
      <c r="G25" s="0" t="str">
        <f aca="false">IF(A25="","",F25&amp;"|"&amp;COUNTIF($F$3:F25,F25))</f>
        <v>감가상각비|1</v>
      </c>
    </row>
    <row r="26" customFormat="false" ht="13.5" hidden="false" customHeight="true" outlineLevel="0" collapsed="false">
      <c r="A26" s="139" t="s">
        <v>158</v>
      </c>
      <c r="B26" s="144" t="n">
        <v>81000000</v>
      </c>
      <c r="C26" s="144" t="n">
        <v>0</v>
      </c>
      <c r="D26" s="144" t="n">
        <v>162000000</v>
      </c>
      <c r="E26" s="144" t="n">
        <v>0</v>
      </c>
      <c r="F26" s="0" t="str">
        <f aca="false">IF(A26="","",SUBSTITUTE(A26," ",""))</f>
        <v>지급임차료</v>
      </c>
      <c r="G26" s="0" t="str">
        <f aca="false">IF(A26="","",F26&amp;"|"&amp;COUNTIF($F$3:F26,F26))</f>
        <v>지급임차료|1</v>
      </c>
    </row>
    <row r="27" customFormat="false" ht="13.5" hidden="false" customHeight="true" outlineLevel="0" collapsed="false">
      <c r="A27" s="139" t="s">
        <v>159</v>
      </c>
      <c r="B27" s="144" t="n">
        <v>45520159</v>
      </c>
      <c r="C27" s="144" t="n">
        <v>0</v>
      </c>
      <c r="D27" s="144" t="n">
        <v>68016202</v>
      </c>
      <c r="E27" s="144" t="n">
        <v>0</v>
      </c>
      <c r="F27" s="0" t="str">
        <f aca="false">IF(A27="","",SUBSTITUTE(A27," ",""))</f>
        <v>보험료</v>
      </c>
      <c r="G27" s="0" t="str">
        <f aca="false">IF(A27="","",F27&amp;"|"&amp;COUNTIF($F$3:F27,F27))</f>
        <v>보험료|1</v>
      </c>
    </row>
    <row r="28" customFormat="false" ht="13.5" hidden="false" customHeight="true" outlineLevel="0" collapsed="false">
      <c r="A28" s="139" t="s">
        <v>160</v>
      </c>
      <c r="B28" s="144" t="n">
        <v>129149222</v>
      </c>
      <c r="C28" s="144" t="n">
        <v>0</v>
      </c>
      <c r="D28" s="144" t="n">
        <v>234909756</v>
      </c>
      <c r="E28" s="144" t="n">
        <v>0</v>
      </c>
      <c r="F28" s="0" t="str">
        <f aca="false">IF(A28="","",SUBSTITUTE(A28," ",""))</f>
        <v>차량유지비</v>
      </c>
      <c r="G28" s="0" t="str">
        <f aca="false">IF(A28="","",F28&amp;"|"&amp;COUNTIF($F$3:F28,F28))</f>
        <v>차량유지비|1</v>
      </c>
    </row>
    <row r="29" customFormat="false" ht="13.5" hidden="false" customHeight="true" outlineLevel="0" collapsed="false">
      <c r="A29" s="139" t="s">
        <v>161</v>
      </c>
      <c r="B29" s="144" t="n">
        <v>10743083</v>
      </c>
      <c r="C29" s="144" t="n">
        <v>0</v>
      </c>
      <c r="D29" s="144" t="n">
        <v>26830863</v>
      </c>
      <c r="E29" s="144" t="n">
        <v>0</v>
      </c>
      <c r="F29" s="0" t="str">
        <f aca="false">IF(A29="","",SUBSTITUTE(A29," ",""))</f>
        <v>운반비</v>
      </c>
      <c r="G29" s="0" t="str">
        <f aca="false">IF(A29="","",F29&amp;"|"&amp;COUNTIF($F$3:F29,F29))</f>
        <v>운반비|1</v>
      </c>
    </row>
    <row r="30" customFormat="false" ht="11.25" hidden="false" customHeight="true" outlineLevel="0" collapsed="false">
      <c r="A30" s="139" t="s">
        <v>163</v>
      </c>
      <c r="B30" s="144" t="n">
        <v>13313940</v>
      </c>
      <c r="C30" s="144" t="n">
        <v>0</v>
      </c>
      <c r="D30" s="144" t="n">
        <v>16554758</v>
      </c>
      <c r="E30" s="144" t="n">
        <v>0</v>
      </c>
      <c r="F30" s="0" t="str">
        <f aca="false">IF(A30="","",SUBSTITUTE(A30," ",""))</f>
        <v>소모품비</v>
      </c>
      <c r="G30" s="0" t="str">
        <f aca="false">IF(A30="","",F30&amp;"|"&amp;COUNTIF($F$3:F30,F30))</f>
        <v>소모품비|1</v>
      </c>
    </row>
    <row r="31" customFormat="false" ht="13.5" hidden="false" customHeight="true" outlineLevel="0" collapsed="false">
      <c r="A31" s="139" t="s">
        <v>164</v>
      </c>
      <c r="B31" s="144" t="n">
        <v>171886483</v>
      </c>
      <c r="C31" s="144" t="n">
        <v>0</v>
      </c>
      <c r="D31" s="144" t="n">
        <v>292448219</v>
      </c>
      <c r="E31" s="144" t="n">
        <v>0</v>
      </c>
      <c r="F31" s="0" t="str">
        <f aca="false">IF(A31="","",SUBSTITUTE(A31," ",""))</f>
        <v>지급수수료</v>
      </c>
      <c r="G31" s="0" t="str">
        <f aca="false">IF(A31="","",F31&amp;"|"&amp;COUNTIF($F$3:F31,F31))</f>
        <v>지급수수료|1</v>
      </c>
    </row>
    <row r="32" customFormat="false" ht="13.5" hidden="false" customHeight="true" outlineLevel="0" collapsed="false">
      <c r="A32" s="139" t="s">
        <v>165</v>
      </c>
      <c r="B32" s="144" t="n">
        <v>0</v>
      </c>
      <c r="C32" s="144" t="n">
        <v>0</v>
      </c>
      <c r="D32" s="144" t="n">
        <v>72371897</v>
      </c>
      <c r="E32" s="144" t="n">
        <v>0</v>
      </c>
      <c r="F32" s="0" t="str">
        <f aca="false">IF(A32="","",SUBSTITUTE(A32," ",""))</f>
        <v>대손상각비</v>
      </c>
      <c r="G32" s="0" t="str">
        <f aca="false">IF(A32="","",F32&amp;"|"&amp;COUNTIF($F$3:F32,F32))</f>
        <v>대손상각비|1</v>
      </c>
    </row>
    <row r="33" customFormat="false" ht="13.5" hidden="false" customHeight="true" outlineLevel="0" collapsed="false">
      <c r="A33" s="139" t="s">
        <v>166</v>
      </c>
      <c r="B33" s="144" t="n">
        <v>968104</v>
      </c>
      <c r="C33" s="144" t="n">
        <v>0</v>
      </c>
      <c r="D33" s="144" t="n">
        <v>3560788</v>
      </c>
      <c r="E33" s="144" t="n">
        <v>0</v>
      </c>
      <c r="F33" s="0" t="str">
        <f aca="false">IF(A33="","",SUBSTITUTE(A33," ",""))</f>
        <v>수출제비용</v>
      </c>
      <c r="G33" s="0" t="str">
        <f aca="false">IF(A33="","",F33&amp;"|"&amp;COUNTIF($F$3:F33,F33))</f>
        <v>수출제비용|1</v>
      </c>
    </row>
    <row r="34" customFormat="false" ht="13.5" hidden="false" customHeight="true" outlineLevel="0" collapsed="false">
      <c r="A34" s="139" t="s">
        <v>336</v>
      </c>
      <c r="B34" s="144" t="n">
        <v>0</v>
      </c>
      <c r="C34" s="144" t="n">
        <v>1541146366</v>
      </c>
      <c r="D34" s="144" t="n">
        <v>0</v>
      </c>
      <c r="E34" s="144" t="n">
        <v>1622495810</v>
      </c>
      <c r="F34" s="0" t="str">
        <f aca="false">IF(A34="","",SUBSTITUTE(A34," ",""))</f>
        <v>Ⅴ.영업이익</v>
      </c>
      <c r="G34" s="0" t="str">
        <f aca="false">IF(A34="","",F34&amp;"|"&amp;COUNTIF($F$3:F34,F34))</f>
        <v>Ⅴ.영업이익|1</v>
      </c>
    </row>
    <row r="35" customFormat="false" ht="13.5" hidden="false" customHeight="true" outlineLevel="0" collapsed="false">
      <c r="A35" s="141" t="s">
        <v>337</v>
      </c>
      <c r="B35" s="144" t="n">
        <v>0</v>
      </c>
      <c r="C35" s="144" t="n">
        <v>137001356</v>
      </c>
      <c r="D35" s="144" t="n">
        <v>0</v>
      </c>
      <c r="E35" s="144" t="n">
        <v>213061525</v>
      </c>
      <c r="F35" s="0" t="str">
        <f aca="false">IF(A35="","",SUBSTITUTE(A35," ",""))</f>
        <v>Ⅵ.영업외수익</v>
      </c>
      <c r="G35" s="0" t="str">
        <f aca="false">IF(A35="","",F35&amp;"|"&amp;COUNTIF($F$3:F35,F35))</f>
        <v>Ⅵ.영업외수익|1</v>
      </c>
    </row>
    <row r="36" customFormat="false" ht="13.5" hidden="false" customHeight="true" outlineLevel="0" collapsed="false">
      <c r="A36" s="142" t="s">
        <v>169</v>
      </c>
      <c r="B36" s="144" t="n">
        <v>109296827</v>
      </c>
      <c r="C36" s="144" t="n">
        <v>0</v>
      </c>
      <c r="D36" s="144" t="n">
        <v>191956603</v>
      </c>
      <c r="E36" s="144" t="n">
        <v>0</v>
      </c>
      <c r="F36" s="0" t="str">
        <f aca="false">IF(A36="","",SUBSTITUTE(A36," ",""))</f>
        <v>이자수익</v>
      </c>
      <c r="G36" s="0" t="str">
        <f aca="false">IF(A36="","",F36&amp;"|"&amp;COUNTIF($F$3:F36,F36))</f>
        <v>이자수익|1</v>
      </c>
    </row>
    <row r="37" customFormat="false" ht="13.5" hidden="false" customHeight="true" outlineLevel="0" collapsed="false">
      <c r="A37" s="139" t="s">
        <v>170</v>
      </c>
      <c r="B37" s="144" t="n">
        <v>9493467</v>
      </c>
      <c r="C37" s="144" t="n">
        <v>0</v>
      </c>
      <c r="D37" s="144" t="n">
        <v>94348</v>
      </c>
      <c r="E37" s="144" t="n">
        <v>0</v>
      </c>
      <c r="F37" s="0" t="str">
        <f aca="false">IF(A37="","",SUBSTITUTE(A37," ",""))</f>
        <v>외환차익</v>
      </c>
      <c r="G37" s="0" t="str">
        <f aca="false">IF(A37="","",F37&amp;"|"&amp;COUNTIF($F$3:F37,F37))</f>
        <v>외환차익|1</v>
      </c>
    </row>
    <row r="38" customFormat="false" ht="13.5" hidden="false" customHeight="true" outlineLevel="0" collapsed="false">
      <c r="A38" s="139" t="s">
        <v>338</v>
      </c>
      <c r="B38" s="144" t="n">
        <v>7089909</v>
      </c>
      <c r="C38" s="144" t="n">
        <v>0</v>
      </c>
      <c r="D38" s="144" t="n">
        <v>8659536</v>
      </c>
      <c r="E38" s="144" t="n">
        <v>0</v>
      </c>
      <c r="F38" s="0" t="str">
        <f aca="false">IF(A38="","",SUBSTITUTE(A38," ",""))</f>
        <v>유형자산처분이익</v>
      </c>
      <c r="G38" s="0" t="str">
        <f aca="false">IF(A38="","",F38&amp;"|"&amp;COUNTIF($F$3:F38,F38))</f>
        <v>유형자산처분이익|1</v>
      </c>
    </row>
    <row r="39" customFormat="false" ht="11.25" hidden="false" customHeight="true" outlineLevel="0" collapsed="false">
      <c r="A39" s="139" t="s">
        <v>175</v>
      </c>
      <c r="B39" s="144" t="n">
        <v>11121153</v>
      </c>
      <c r="C39" s="144" t="n">
        <v>0</v>
      </c>
      <c r="D39" s="144" t="n">
        <v>12351038</v>
      </c>
      <c r="E39" s="144" t="n">
        <v>0</v>
      </c>
      <c r="F39" s="0" t="str">
        <f aca="false">IF(A39="","",SUBSTITUTE(A39," ",""))</f>
        <v>잡이익</v>
      </c>
      <c r="G39" s="0" t="str">
        <f aca="false">IF(A39="","",F39&amp;"|"&amp;COUNTIF($F$3:F39,F39))</f>
        <v>잡이익|1</v>
      </c>
    </row>
    <row r="40" customFormat="false" ht="13.5" hidden="false" customHeight="true" outlineLevel="0" collapsed="false">
      <c r="A40" s="139" t="s">
        <v>339</v>
      </c>
      <c r="B40" s="144" t="n">
        <v>0</v>
      </c>
      <c r="C40" s="144" t="n">
        <v>1313475</v>
      </c>
      <c r="D40" s="144" t="n">
        <v>0</v>
      </c>
      <c r="E40" s="144" t="n">
        <v>14528746</v>
      </c>
      <c r="F40" s="0" t="str">
        <f aca="false">IF(A40="","",SUBSTITUTE(A40," ",""))</f>
        <v>Ⅶ.영업외비용</v>
      </c>
      <c r="G40" s="0" t="str">
        <f aca="false">IF(A40="","",F40&amp;"|"&amp;COUNTIF($F$3:F40,F40))</f>
        <v>Ⅶ.영업외비용|1</v>
      </c>
    </row>
    <row r="41" customFormat="false" ht="11.25" hidden="false" customHeight="true" outlineLevel="0" collapsed="false">
      <c r="A41" s="139" t="s">
        <v>178</v>
      </c>
      <c r="B41" s="144" t="n">
        <v>1131469</v>
      </c>
      <c r="C41" s="144" t="n">
        <v>0</v>
      </c>
      <c r="D41" s="144" t="n">
        <v>1282550</v>
      </c>
      <c r="E41" s="144" t="n">
        <v>0</v>
      </c>
      <c r="F41" s="0" t="str">
        <f aca="false">IF(A41="","",SUBSTITUTE(A41," ",""))</f>
        <v>외환차손</v>
      </c>
      <c r="G41" s="0" t="str">
        <f aca="false">IF(A41="","",F41&amp;"|"&amp;COUNTIF($F$3:F41,F41))</f>
        <v>외환차손|1</v>
      </c>
    </row>
    <row r="42" customFormat="false" ht="11.25" hidden="false" customHeight="true" outlineLevel="0" collapsed="false">
      <c r="A42" s="139" t="s">
        <v>179</v>
      </c>
      <c r="B42" s="144" t="n">
        <v>0</v>
      </c>
      <c r="C42" s="144" t="n">
        <v>0</v>
      </c>
      <c r="D42" s="144" t="n">
        <v>12939378</v>
      </c>
      <c r="E42" s="144" t="n">
        <v>0</v>
      </c>
      <c r="F42" s="0" t="str">
        <f aca="false">IF(A42="","",SUBSTITUTE(A42," ",""))</f>
        <v>외화환산손실</v>
      </c>
      <c r="G42" s="0" t="str">
        <f aca="false">IF(A42="","",F42&amp;"|"&amp;COUNTIF($F$3:F42,F42))</f>
        <v>외화환산손실|1</v>
      </c>
    </row>
    <row r="43" customFormat="false" ht="13.5" hidden="false" customHeight="true" outlineLevel="0" collapsed="false">
      <c r="A43" s="139" t="s">
        <v>181</v>
      </c>
      <c r="B43" s="144" t="n">
        <v>2000</v>
      </c>
      <c r="C43" s="144" t="n">
        <v>0</v>
      </c>
      <c r="D43" s="144" t="n">
        <v>0</v>
      </c>
      <c r="E43" s="144" t="n">
        <v>0</v>
      </c>
      <c r="F43" s="0" t="str">
        <f aca="false">IF(A43="","",SUBSTITUTE(A43," ",""))</f>
        <v>유형자산처분손실</v>
      </c>
      <c r="G43" s="0" t="str">
        <f aca="false">IF(A43="","",F43&amp;"|"&amp;COUNTIF($F$3:F43,F43))</f>
        <v>유형자산처분손실|1</v>
      </c>
    </row>
    <row r="44" customFormat="false" ht="13.5" hidden="false" customHeight="true" outlineLevel="0" collapsed="false">
      <c r="A44" s="142" t="s">
        <v>182</v>
      </c>
      <c r="B44" s="144" t="n">
        <v>180006</v>
      </c>
      <c r="C44" s="144" t="n">
        <v>0</v>
      </c>
      <c r="D44" s="144" t="n">
        <v>306818</v>
      </c>
      <c r="E44" s="144" t="n">
        <v>0</v>
      </c>
      <c r="F44" s="0" t="str">
        <f aca="false">IF(A44="","",SUBSTITUTE(A44," ",""))</f>
        <v>잡손실</v>
      </c>
      <c r="G44" s="0" t="str">
        <f aca="false">IF(A44="","",F44&amp;"|"&amp;COUNTIF($F$3:F44,F44))</f>
        <v>잡손실|1</v>
      </c>
    </row>
    <row r="45" customFormat="false" ht="11.25" hidden="false" customHeight="true" outlineLevel="0" collapsed="false">
      <c r="A45" s="139" t="s">
        <v>340</v>
      </c>
      <c r="B45" s="144" t="n">
        <v>0</v>
      </c>
      <c r="C45" s="144" t="n">
        <v>1676834247</v>
      </c>
      <c r="D45" s="144" t="n">
        <v>0</v>
      </c>
      <c r="E45" s="144" t="n">
        <v>1821028589</v>
      </c>
      <c r="F45" s="0" t="str">
        <f aca="false">IF(A45="","",SUBSTITUTE(A45," ",""))</f>
        <v>Ⅷ.법인세비용차감전순이익</v>
      </c>
      <c r="G45" s="0" t="str">
        <f aca="false">IF(A45="","",F45&amp;"|"&amp;COUNTIF($F$3:F45,F45))</f>
        <v>Ⅷ.법인세비용차감전순이익|1</v>
      </c>
    </row>
    <row r="46" customFormat="false" ht="13.5" hidden="false" customHeight="true" outlineLevel="0" collapsed="false">
      <c r="A46" s="139" t="s">
        <v>352</v>
      </c>
      <c r="B46" s="144" t="n">
        <v>0</v>
      </c>
      <c r="C46" s="144" t="n">
        <v>0</v>
      </c>
      <c r="D46" s="144" t="n">
        <v>0</v>
      </c>
      <c r="E46" s="144" t="n">
        <v>408545770</v>
      </c>
      <c r="F46" s="0" t="str">
        <f aca="false">IF(A46="","",SUBSTITUTE(A46," ",""))</f>
        <v>Ⅸ.법인세비용</v>
      </c>
      <c r="G46" s="0" t="str">
        <f aca="false">IF(A46="","",F46&amp;"|"&amp;COUNTIF($F$3:F46,F46))</f>
        <v>Ⅸ.법인세비용|1</v>
      </c>
    </row>
    <row r="47" customFormat="false" ht="13.5" hidden="false" customHeight="true" outlineLevel="0" collapsed="false">
      <c r="A47" s="139" t="s">
        <v>186</v>
      </c>
      <c r="B47" s="144" t="n">
        <v>0</v>
      </c>
      <c r="C47" s="144" t="n">
        <v>0</v>
      </c>
      <c r="D47" s="144" t="n">
        <v>408545770</v>
      </c>
      <c r="E47" s="144" t="n">
        <v>0</v>
      </c>
      <c r="F47" s="0" t="str">
        <f aca="false">IF(A47="","",SUBSTITUTE(A47," ",""))</f>
        <v>법인세등</v>
      </c>
      <c r="G47" s="0" t="str">
        <f aca="false">IF(A47="","",F47&amp;"|"&amp;COUNTIF($F$3:F47,F47))</f>
        <v>법인세등|1</v>
      </c>
    </row>
    <row r="48" customFormat="false" ht="11.25" hidden="false" customHeight="true" outlineLevel="0" collapsed="false">
      <c r="A48" s="139" t="s">
        <v>353</v>
      </c>
      <c r="B48" s="144" t="n">
        <v>0</v>
      </c>
      <c r="C48" s="144" t="n">
        <v>1676834247</v>
      </c>
      <c r="D48" s="144" t="n">
        <v>0</v>
      </c>
      <c r="E48" s="144" t="n">
        <v>1412482819</v>
      </c>
      <c r="F48" s="0" t="str">
        <f aca="false">IF(A48="","",SUBSTITUTE(A48," ",""))</f>
        <v>Ⅹ.당기순이익</v>
      </c>
      <c r="G48" s="0" t="str">
        <f aca="false">IF(A48="","",F48&amp;"|"&amp;COUNTIF($F$3:F48,F48))</f>
        <v>Ⅹ.당기순이익|1</v>
      </c>
    </row>
    <row r="49" customFormat="false" ht="13.5" hidden="false" customHeight="true" outlineLevel="0" collapsed="false">
      <c r="A49" s="139"/>
      <c r="B49" s="144"/>
      <c r="C49" s="144"/>
      <c r="D49" s="144"/>
      <c r="E49" s="144"/>
    </row>
    <row r="50" customFormat="false" ht="13.5" hidden="false" customHeight="true" outlineLevel="0" collapsed="false">
      <c r="A50" s="139"/>
      <c r="B50" s="144"/>
      <c r="C50" s="144"/>
      <c r="D50" s="144"/>
      <c r="E50" s="144"/>
    </row>
    <row r="51" customFormat="false" ht="11.25" hidden="false" customHeight="true" outlineLevel="0" collapsed="false">
      <c r="A51" s="139"/>
      <c r="B51" s="144"/>
      <c r="C51" s="144"/>
      <c r="D51" s="144"/>
      <c r="E51" s="144"/>
    </row>
    <row r="52" customFormat="false" ht="13.5" hidden="false" customHeight="true" outlineLevel="0" collapsed="false">
      <c r="A52" s="141"/>
      <c r="B52" s="144"/>
      <c r="C52" s="144"/>
      <c r="D52" s="144"/>
      <c r="E52" s="144"/>
    </row>
    <row r="53" customFormat="false" ht="13.5" hidden="false" customHeight="true" outlineLevel="0" collapsed="false">
      <c r="A53" s="141"/>
      <c r="B53" s="144"/>
      <c r="C53" s="144"/>
      <c r="D53" s="144"/>
      <c r="E53" s="144"/>
    </row>
    <row r="54" customFormat="false" ht="13.5" hidden="false" customHeight="true" outlineLevel="0" collapsed="false">
      <c r="A54" s="139"/>
      <c r="B54" s="144"/>
      <c r="C54" s="144"/>
      <c r="D54" s="144"/>
      <c r="E54" s="144"/>
    </row>
    <row r="55" customFormat="false" ht="13.5" hidden="false" customHeight="true" outlineLevel="0" collapsed="false">
      <c r="A55" s="141"/>
      <c r="B55" s="144"/>
      <c r="C55" s="144"/>
      <c r="D55" s="144"/>
      <c r="E55" s="144"/>
    </row>
    <row r="56" customFormat="false" ht="11.25" hidden="false" customHeight="true" outlineLevel="0" collapsed="false"/>
    <row r="57" customFormat="false" ht="11.25" hidden="false" customHeight="true" outlineLevel="0" collapsed="false"/>
    <row r="58" customFormat="false" ht="11.25" hidden="false" customHeight="true" outlineLevel="0" collapsed="false"/>
    <row r="59" customFormat="false" ht="11.25" hidden="false" customHeight="true" outlineLevel="0" collapsed="false"/>
    <row r="60" customFormat="false" ht="11.25" hidden="false" customHeight="true" outlineLevel="0" collapsed="false"/>
    <row r="61" customFormat="false" ht="11.25" hidden="false" customHeight="true" outlineLevel="0" collapsed="false"/>
    <row r="62" customFormat="false" ht="11.25" hidden="false" customHeight="true" outlineLevel="0" collapsed="false"/>
    <row r="63" customFormat="false" ht="11.25" hidden="false" customHeight="true" outlineLevel="0" collapsed="false"/>
    <row r="64" customFormat="false" ht="11.25" hidden="false" customHeight="true" outlineLevel="0" collapsed="false"/>
    <row r="65" customFormat="false" ht="11.25" hidden="false" customHeight="true" outlineLevel="0" collapsed="false"/>
    <row r="66" customFormat="false" ht="11.25" hidden="false" customHeight="true" outlineLevel="0" collapsed="false"/>
    <row r="67" customFormat="false" ht="11.25" hidden="false" customHeight="true" outlineLevel="0" collapsed="false"/>
    <row r="68" customFormat="false" ht="11.25" hidden="false" customHeight="true" outlineLevel="0" collapsed="false"/>
    <row r="69" customFormat="false" ht="11.25" hidden="false" customHeight="true" outlineLevel="0" collapsed="false"/>
    <row r="70" customFormat="false" ht="11.25" hidden="false" customHeight="true" outlineLevel="0" collapsed="false"/>
    <row r="71" customFormat="false" ht="11.25" hidden="false" customHeight="true" outlineLevel="0" collapsed="false"/>
    <row r="72" customFormat="false" ht="11.25" hidden="false" customHeight="true" outlineLevel="0" collapsed="false"/>
    <row r="73" customFormat="false" ht="11.25" hidden="false" customHeight="true" outlineLevel="0" collapsed="false"/>
    <row r="74" customFormat="false" ht="11.25" hidden="false" customHeight="true" outlineLevel="0" collapsed="false"/>
    <row r="75" customFormat="false" ht="11.25" hidden="false" customHeight="true" outlineLevel="0" collapsed="false"/>
    <row r="76" customFormat="false" ht="11.25" hidden="false" customHeight="true" outlineLevel="0" collapsed="false"/>
    <row r="77" customFormat="false" ht="11.25" hidden="false" customHeight="true" outlineLevel="0" collapsed="false"/>
    <row r="78" customFormat="false" ht="11.25" hidden="false" customHeight="true" outlineLevel="0" collapsed="false"/>
    <row r="79" customFormat="false" ht="11.25" hidden="false" customHeight="true" outlineLevel="0" collapsed="false"/>
    <row r="80" customFormat="false" ht="11.25" hidden="false" customHeight="true" outlineLevel="0" collapsed="false"/>
    <row r="81" customFormat="false" ht="11.25" hidden="false" customHeight="true" outlineLevel="0" collapsed="false"/>
    <row r="82" customFormat="false" ht="11.25" hidden="false" customHeight="true" outlineLevel="0" collapsed="false"/>
    <row r="83" customFormat="false" ht="11.25" hidden="false" customHeight="true" outlineLevel="0" collapsed="false"/>
    <row r="84" customFormat="false" ht="11.25" hidden="false" customHeight="true" outlineLevel="0" collapsed="false"/>
    <row r="85" customFormat="false" ht="11.25" hidden="false" customHeight="true" outlineLevel="0" collapsed="false"/>
    <row r="86" customFormat="false" ht="11.25" hidden="false" customHeight="true" outlineLevel="0" collapsed="false"/>
    <row r="87" customFormat="false" ht="11.25" hidden="false" customHeight="true" outlineLevel="0" collapsed="false"/>
    <row r="88" customFormat="false" ht="11.25" hidden="false" customHeight="true" outlineLevel="0" collapsed="false"/>
    <row r="89" customFormat="false" ht="11.25" hidden="false" customHeight="true" outlineLevel="0" collapsed="false"/>
    <row r="90" customFormat="false" ht="11.25" hidden="false" customHeight="true" outlineLevel="0" collapsed="false"/>
  </sheetData>
  <mergeCells count="5">
    <mergeCell ref="A1:A2"/>
    <mergeCell ref="B1:C1"/>
    <mergeCell ref="D1:E1"/>
    <mergeCell ref="B2:C2"/>
    <mergeCell ref="D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2022-09-29T02:43:59Z</dcterms:created>
  <dc:creator>창현관리부</dc:creator>
  <dc:description/>
  <dc:language>en-US</dc:language>
  <cp:lastModifiedBy/>
  <cp:lastPrinted>2026-08-07T06:27:55Z</cp:lastPrinted>
  <dcterms:modified xsi:type="dcterms:W3CDTF">2026-08-26T04:49:21Z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